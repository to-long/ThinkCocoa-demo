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AgroEco/ImpactCocoa Database Dev - shared folder/Reporting templates/For review/"/>
    </mc:Choice>
  </mc:AlternateContent>
  <xr:revisionPtr revIDLastSave="16" documentId="11_76217CFF31FAA84381375E740DC4917118F1A5F1" xr6:coauthVersionLast="47" xr6:coauthVersionMax="47" xr10:uidLastSave="{70C7FA2A-F64A-4D7E-86A9-BF50B49EA799}"/>
  <bookViews>
    <workbookView xWindow="-98" yWindow="-98" windowWidth="21795" windowHeight="12975" tabRatio="500" firstSheet="1" activeTab="1" xr2:uid="{00000000-000D-0000-FFFF-FFFF00000000}"/>
  </bookViews>
  <sheets>
    <sheet name="Cover Page" sheetId="1" r:id="rId1"/>
    <sheet name="DB Field Mapping" sheetId="2" r:id="rId2"/>
    <sheet name="1. Farm Information" sheetId="3" r:id="rId3"/>
    <sheet name="2. Certified Crop" sheetId="4" r:id="rId4"/>
    <sheet name="3. Farm Unit" sheetId="5" r:id="rId5"/>
    <sheet name="Dashboard" sheetId="6" r:id="rId6"/>
  </sheets>
  <calcPr calcId="191028" calcMode="manual"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C25" i="6"/>
  <c r="C24" i="6"/>
  <c r="C19" i="6"/>
  <c r="C18" i="6"/>
  <c r="C15" i="6"/>
  <c r="C14" i="6"/>
  <c r="C13" i="6"/>
  <c r="C12" i="6"/>
  <c r="C11" i="6"/>
  <c r="C10" i="6"/>
  <c r="C9" i="6"/>
  <c r="C7" i="6"/>
  <c r="C6" i="6"/>
  <c r="C5" i="6"/>
  <c r="H104" i="5"/>
  <c r="G104" i="5"/>
  <c r="F104" i="5"/>
  <c r="H103" i="5"/>
  <c r="G103" i="5"/>
  <c r="F103" i="5"/>
  <c r="H102" i="5"/>
  <c r="G102" i="5"/>
  <c r="F102" i="5"/>
  <c r="H101" i="5"/>
  <c r="G101" i="5"/>
  <c r="F101" i="5"/>
  <c r="H100" i="5"/>
  <c r="G100" i="5"/>
  <c r="F100" i="5"/>
  <c r="H99" i="5"/>
  <c r="G99" i="5"/>
  <c r="F99" i="5"/>
  <c r="H98" i="5"/>
  <c r="G98" i="5"/>
  <c r="F98" i="5"/>
  <c r="H97" i="5"/>
  <c r="G97" i="5"/>
  <c r="F97" i="5"/>
  <c r="H96" i="5"/>
  <c r="G96" i="5"/>
  <c r="F96" i="5"/>
  <c r="H95" i="5"/>
  <c r="G95" i="5"/>
  <c r="F95" i="5"/>
  <c r="H94" i="5"/>
  <c r="G94" i="5"/>
  <c r="F94" i="5"/>
  <c r="H93" i="5"/>
  <c r="G93" i="5"/>
  <c r="F93" i="5"/>
  <c r="H92" i="5"/>
  <c r="G92" i="5"/>
  <c r="F92" i="5"/>
  <c r="H91" i="5"/>
  <c r="G91" i="5"/>
  <c r="F91" i="5"/>
  <c r="H90" i="5"/>
  <c r="G90" i="5"/>
  <c r="F90" i="5"/>
  <c r="H89" i="5"/>
  <c r="G89" i="5"/>
  <c r="F89" i="5"/>
  <c r="H88" i="5"/>
  <c r="G88" i="5"/>
  <c r="F88" i="5"/>
  <c r="H87" i="5"/>
  <c r="G87" i="5"/>
  <c r="F87" i="5"/>
  <c r="H86" i="5"/>
  <c r="G86" i="5"/>
  <c r="F86" i="5"/>
  <c r="H85" i="5"/>
  <c r="G85" i="5"/>
  <c r="F85" i="5"/>
  <c r="H84" i="5"/>
  <c r="G84" i="5"/>
  <c r="F84" i="5"/>
  <c r="H83" i="5"/>
  <c r="G83" i="5"/>
  <c r="F83" i="5"/>
  <c r="H82" i="5"/>
  <c r="G82" i="5"/>
  <c r="F82" i="5"/>
  <c r="H81" i="5"/>
  <c r="G81" i="5"/>
  <c r="F81" i="5"/>
  <c r="H80" i="5"/>
  <c r="G80" i="5"/>
  <c r="F80" i="5"/>
  <c r="H79" i="5"/>
  <c r="G79" i="5"/>
  <c r="F79" i="5"/>
  <c r="H78" i="5"/>
  <c r="G78" i="5"/>
  <c r="F78" i="5"/>
  <c r="H77" i="5"/>
  <c r="G77" i="5"/>
  <c r="F77" i="5"/>
  <c r="H76" i="5"/>
  <c r="G76" i="5"/>
  <c r="F76" i="5"/>
  <c r="H75" i="5"/>
  <c r="G75" i="5"/>
  <c r="F75" i="5"/>
  <c r="H74" i="5"/>
  <c r="G74" i="5"/>
  <c r="F74" i="5"/>
  <c r="H73" i="5"/>
  <c r="G73" i="5"/>
  <c r="F73" i="5"/>
  <c r="H72" i="5"/>
  <c r="G72" i="5"/>
  <c r="F72" i="5"/>
  <c r="H71" i="5"/>
  <c r="G71" i="5"/>
  <c r="F71" i="5"/>
  <c r="H70" i="5"/>
  <c r="G70" i="5"/>
  <c r="F70" i="5"/>
  <c r="H69" i="5"/>
  <c r="G69" i="5"/>
  <c r="F69" i="5"/>
  <c r="H68" i="5"/>
  <c r="G68" i="5"/>
  <c r="F68" i="5"/>
  <c r="H67" i="5"/>
  <c r="G67" i="5"/>
  <c r="F67" i="5"/>
  <c r="H66" i="5"/>
  <c r="G66" i="5"/>
  <c r="F66" i="5"/>
  <c r="H65" i="5"/>
  <c r="G65" i="5"/>
  <c r="F65" i="5"/>
  <c r="H64" i="5"/>
  <c r="G64" i="5"/>
  <c r="F64" i="5"/>
  <c r="H63" i="5"/>
  <c r="G63" i="5"/>
  <c r="F63" i="5"/>
  <c r="H62" i="5"/>
  <c r="G62" i="5"/>
  <c r="F62" i="5"/>
  <c r="H61" i="5"/>
  <c r="G61" i="5"/>
  <c r="F61" i="5"/>
  <c r="H60" i="5"/>
  <c r="G60" i="5"/>
  <c r="F60" i="5"/>
  <c r="H59" i="5"/>
  <c r="G59" i="5"/>
  <c r="F59" i="5"/>
  <c r="H58" i="5"/>
  <c r="G58" i="5"/>
  <c r="F58" i="5"/>
  <c r="H57" i="5"/>
  <c r="G57" i="5"/>
  <c r="F57" i="5"/>
  <c r="H56" i="5"/>
  <c r="G56" i="5"/>
  <c r="F56" i="5"/>
  <c r="H55" i="5"/>
  <c r="G55" i="5"/>
  <c r="F55" i="5"/>
  <c r="H54" i="5"/>
  <c r="G54" i="5"/>
  <c r="F54" i="5"/>
  <c r="H53" i="5"/>
  <c r="G53" i="5"/>
  <c r="F53" i="5"/>
  <c r="H52" i="5"/>
  <c r="G52" i="5"/>
  <c r="F52" i="5"/>
  <c r="H51" i="5"/>
  <c r="G51" i="5"/>
  <c r="F51" i="5"/>
  <c r="H50" i="5"/>
  <c r="G50" i="5"/>
  <c r="F50" i="5"/>
  <c r="H49" i="5"/>
  <c r="G49" i="5"/>
  <c r="F49" i="5"/>
  <c r="H48" i="5"/>
  <c r="G48" i="5"/>
  <c r="F48" i="5"/>
  <c r="H47" i="5"/>
  <c r="G47" i="5"/>
  <c r="F47" i="5"/>
  <c r="H46" i="5"/>
  <c r="G46" i="5"/>
  <c r="F46" i="5"/>
  <c r="H45" i="5"/>
  <c r="G45" i="5"/>
  <c r="F45" i="5"/>
  <c r="H44" i="5"/>
  <c r="G44" i="5"/>
  <c r="F44" i="5"/>
  <c r="H43" i="5"/>
  <c r="G43" i="5"/>
  <c r="F43" i="5"/>
  <c r="H42" i="5"/>
  <c r="G42" i="5"/>
  <c r="F42" i="5"/>
  <c r="H41" i="5"/>
  <c r="G41" i="5"/>
  <c r="F41" i="5"/>
  <c r="H40" i="5"/>
  <c r="G40" i="5"/>
  <c r="F40" i="5"/>
  <c r="H39" i="5"/>
  <c r="G39" i="5"/>
  <c r="F39" i="5"/>
  <c r="H38" i="5"/>
  <c r="G38" i="5"/>
  <c r="F38" i="5"/>
  <c r="H37" i="5"/>
  <c r="G37" i="5"/>
  <c r="F37" i="5"/>
  <c r="H36" i="5"/>
  <c r="G36" i="5"/>
  <c r="F36" i="5"/>
  <c r="H35" i="5"/>
  <c r="G35" i="5"/>
  <c r="F35" i="5"/>
  <c r="H34" i="5"/>
  <c r="G34" i="5"/>
  <c r="F34" i="5"/>
  <c r="H33" i="5"/>
  <c r="G33" i="5"/>
  <c r="F33" i="5"/>
  <c r="H32" i="5"/>
  <c r="G32" i="5"/>
  <c r="F32" i="5"/>
  <c r="H31" i="5"/>
  <c r="G31" i="5"/>
  <c r="F31" i="5"/>
  <c r="H30" i="5"/>
  <c r="G30" i="5"/>
  <c r="F30" i="5"/>
  <c r="H29" i="5"/>
  <c r="G29" i="5"/>
  <c r="F29" i="5"/>
  <c r="H28" i="5"/>
  <c r="G28" i="5"/>
  <c r="F28" i="5"/>
  <c r="H27" i="5"/>
  <c r="G27" i="5"/>
  <c r="F27" i="5"/>
  <c r="H26" i="5"/>
  <c r="G26" i="5"/>
  <c r="F26" i="5"/>
  <c r="H25" i="5"/>
  <c r="G25" i="5"/>
  <c r="F25" i="5"/>
  <c r="H24" i="5"/>
  <c r="G24" i="5"/>
  <c r="F24" i="5"/>
  <c r="H23" i="5"/>
  <c r="G23" i="5"/>
  <c r="F23" i="5"/>
  <c r="H22" i="5"/>
  <c r="G22" i="5"/>
  <c r="F22" i="5"/>
  <c r="H21" i="5"/>
  <c r="G21" i="5"/>
  <c r="F21" i="5"/>
  <c r="H20" i="5"/>
  <c r="G20" i="5"/>
  <c r="F20" i="5"/>
  <c r="H19" i="5"/>
  <c r="G19" i="5"/>
  <c r="F19" i="5"/>
  <c r="H18" i="5"/>
  <c r="G18" i="5"/>
  <c r="F18" i="5"/>
  <c r="H17" i="5"/>
  <c r="G17" i="5"/>
  <c r="F17" i="5"/>
  <c r="H16" i="5"/>
  <c r="G16" i="5"/>
  <c r="F16" i="5"/>
  <c r="H15" i="5"/>
  <c r="G15" i="5"/>
  <c r="F15" i="5"/>
  <c r="H14" i="5"/>
  <c r="G14" i="5"/>
  <c r="F14" i="5"/>
  <c r="H13" i="5"/>
  <c r="G13" i="5"/>
  <c r="F13" i="5"/>
  <c r="H12" i="5"/>
  <c r="G12" i="5"/>
  <c r="F12" i="5"/>
  <c r="H11" i="5"/>
  <c r="G11" i="5"/>
  <c r="F11" i="5"/>
  <c r="H10" i="5"/>
  <c r="G10" i="5"/>
  <c r="F10" i="5"/>
  <c r="H9" i="5"/>
  <c r="G9" i="5"/>
  <c r="F9" i="5"/>
  <c r="H8" i="5"/>
  <c r="G8" i="5"/>
  <c r="F8" i="5"/>
  <c r="H7" i="5"/>
  <c r="G7" i="5"/>
  <c r="F7" i="5"/>
  <c r="H6" i="5"/>
  <c r="G6" i="5"/>
  <c r="F6" i="5"/>
  <c r="C22" i="6"/>
  <c r="H5" i="5"/>
  <c r="C21" i="6" s="1"/>
  <c r="G5" i="5"/>
  <c r="C20" i="6" s="1"/>
  <c r="F5" i="5"/>
  <c r="P104" i="4"/>
  <c r="O104" i="4"/>
  <c r="N104" i="4"/>
  <c r="M104" i="4"/>
  <c r="L104" i="4"/>
  <c r="K104" i="4"/>
  <c r="J104" i="4"/>
  <c r="I104" i="4"/>
  <c r="H104" i="4"/>
  <c r="P103" i="4"/>
  <c r="O103" i="4"/>
  <c r="N103" i="4"/>
  <c r="M103" i="4"/>
  <c r="L103" i="4"/>
  <c r="K103" i="4"/>
  <c r="J103" i="4"/>
  <c r="I103" i="4"/>
  <c r="H103" i="4"/>
  <c r="P102" i="4"/>
  <c r="O102" i="4"/>
  <c r="N102" i="4"/>
  <c r="M102" i="4"/>
  <c r="L102" i="4"/>
  <c r="K102" i="4"/>
  <c r="J102" i="4"/>
  <c r="I102" i="4"/>
  <c r="H102" i="4"/>
  <c r="P101" i="4"/>
  <c r="O101" i="4"/>
  <c r="N101" i="4"/>
  <c r="M101" i="4"/>
  <c r="L101" i="4"/>
  <c r="K101" i="4"/>
  <c r="J101" i="4"/>
  <c r="I101" i="4"/>
  <c r="H101" i="4"/>
  <c r="P100" i="4"/>
  <c r="O100" i="4"/>
  <c r="N100" i="4"/>
  <c r="M100" i="4"/>
  <c r="L100" i="4"/>
  <c r="K100" i="4"/>
  <c r="J100" i="4"/>
  <c r="I100" i="4"/>
  <c r="H100" i="4"/>
  <c r="P99" i="4"/>
  <c r="O99" i="4"/>
  <c r="N99" i="4"/>
  <c r="M99" i="4"/>
  <c r="L99" i="4"/>
  <c r="K99" i="4"/>
  <c r="J99" i="4"/>
  <c r="I99" i="4"/>
  <c r="H99" i="4"/>
  <c r="P98" i="4"/>
  <c r="O98" i="4"/>
  <c r="N98" i="4"/>
  <c r="M98" i="4"/>
  <c r="L98" i="4"/>
  <c r="K98" i="4"/>
  <c r="J98" i="4"/>
  <c r="I98" i="4"/>
  <c r="H98" i="4"/>
  <c r="P97" i="4"/>
  <c r="O97" i="4"/>
  <c r="N97" i="4"/>
  <c r="M97" i="4"/>
  <c r="L97" i="4"/>
  <c r="K97" i="4"/>
  <c r="J97" i="4"/>
  <c r="I97" i="4"/>
  <c r="H97" i="4"/>
  <c r="P96" i="4"/>
  <c r="O96" i="4"/>
  <c r="N96" i="4"/>
  <c r="M96" i="4"/>
  <c r="L96" i="4"/>
  <c r="K96" i="4"/>
  <c r="J96" i="4"/>
  <c r="I96" i="4"/>
  <c r="H96" i="4"/>
  <c r="P95" i="4"/>
  <c r="O95" i="4"/>
  <c r="N95" i="4"/>
  <c r="M95" i="4"/>
  <c r="L95" i="4"/>
  <c r="K95" i="4"/>
  <c r="J95" i="4"/>
  <c r="I95" i="4"/>
  <c r="H95" i="4"/>
  <c r="P94" i="4"/>
  <c r="O94" i="4"/>
  <c r="N94" i="4"/>
  <c r="M94" i="4"/>
  <c r="L94" i="4"/>
  <c r="K94" i="4"/>
  <c r="J94" i="4"/>
  <c r="I94" i="4"/>
  <c r="H94" i="4"/>
  <c r="P93" i="4"/>
  <c r="O93" i="4"/>
  <c r="N93" i="4"/>
  <c r="M93" i="4"/>
  <c r="L93" i="4"/>
  <c r="K93" i="4"/>
  <c r="J93" i="4"/>
  <c r="I93" i="4"/>
  <c r="H93" i="4"/>
  <c r="P92" i="4"/>
  <c r="O92" i="4"/>
  <c r="N92" i="4"/>
  <c r="M92" i="4"/>
  <c r="L92" i="4"/>
  <c r="K92" i="4"/>
  <c r="J92" i="4"/>
  <c r="I92" i="4"/>
  <c r="H92" i="4"/>
  <c r="P91" i="4"/>
  <c r="O91" i="4"/>
  <c r="N91" i="4"/>
  <c r="M91" i="4"/>
  <c r="L91" i="4"/>
  <c r="K91" i="4"/>
  <c r="J91" i="4"/>
  <c r="I91" i="4"/>
  <c r="H91" i="4"/>
  <c r="P90" i="4"/>
  <c r="O90" i="4"/>
  <c r="N90" i="4"/>
  <c r="M90" i="4"/>
  <c r="L90" i="4"/>
  <c r="K90" i="4"/>
  <c r="J90" i="4"/>
  <c r="I90" i="4"/>
  <c r="H90" i="4"/>
  <c r="P89" i="4"/>
  <c r="O89" i="4"/>
  <c r="N89" i="4"/>
  <c r="M89" i="4"/>
  <c r="L89" i="4"/>
  <c r="K89" i="4"/>
  <c r="J89" i="4"/>
  <c r="I89" i="4"/>
  <c r="H89" i="4"/>
  <c r="P88" i="4"/>
  <c r="O88" i="4"/>
  <c r="N88" i="4"/>
  <c r="M88" i="4"/>
  <c r="L88" i="4"/>
  <c r="K88" i="4"/>
  <c r="J88" i="4"/>
  <c r="I88" i="4"/>
  <c r="H88" i="4"/>
  <c r="P87" i="4"/>
  <c r="O87" i="4"/>
  <c r="N87" i="4"/>
  <c r="M87" i="4"/>
  <c r="L87" i="4"/>
  <c r="K87" i="4"/>
  <c r="J87" i="4"/>
  <c r="I87" i="4"/>
  <c r="H87" i="4"/>
  <c r="P86" i="4"/>
  <c r="O86" i="4"/>
  <c r="N86" i="4"/>
  <c r="M86" i="4"/>
  <c r="L86" i="4"/>
  <c r="K86" i="4"/>
  <c r="J86" i="4"/>
  <c r="I86" i="4"/>
  <c r="H86" i="4"/>
  <c r="P85" i="4"/>
  <c r="O85" i="4"/>
  <c r="N85" i="4"/>
  <c r="M85" i="4"/>
  <c r="L85" i="4"/>
  <c r="K85" i="4"/>
  <c r="J85" i="4"/>
  <c r="I85" i="4"/>
  <c r="H85" i="4"/>
  <c r="P84" i="4"/>
  <c r="O84" i="4"/>
  <c r="N84" i="4"/>
  <c r="M84" i="4"/>
  <c r="L84" i="4"/>
  <c r="K84" i="4"/>
  <c r="J84" i="4"/>
  <c r="I84" i="4"/>
  <c r="H84" i="4"/>
  <c r="P83" i="4"/>
  <c r="O83" i="4"/>
  <c r="N83" i="4"/>
  <c r="M83" i="4"/>
  <c r="L83" i="4"/>
  <c r="K83" i="4"/>
  <c r="J83" i="4"/>
  <c r="I83" i="4"/>
  <c r="H83" i="4"/>
  <c r="P82" i="4"/>
  <c r="O82" i="4"/>
  <c r="N82" i="4"/>
  <c r="M82" i="4"/>
  <c r="L82" i="4"/>
  <c r="K82" i="4"/>
  <c r="J82" i="4"/>
  <c r="I82" i="4"/>
  <c r="H82" i="4"/>
  <c r="P81" i="4"/>
  <c r="O81" i="4"/>
  <c r="N81" i="4"/>
  <c r="M81" i="4"/>
  <c r="L81" i="4"/>
  <c r="K81" i="4"/>
  <c r="J81" i="4"/>
  <c r="I81" i="4"/>
  <c r="H81" i="4"/>
  <c r="P80" i="4"/>
  <c r="O80" i="4"/>
  <c r="N80" i="4"/>
  <c r="M80" i="4"/>
  <c r="L80" i="4"/>
  <c r="K80" i="4"/>
  <c r="J80" i="4"/>
  <c r="I80" i="4"/>
  <c r="H80" i="4"/>
  <c r="P79" i="4"/>
  <c r="O79" i="4"/>
  <c r="N79" i="4"/>
  <c r="M79" i="4"/>
  <c r="L79" i="4"/>
  <c r="K79" i="4"/>
  <c r="J79" i="4"/>
  <c r="I79" i="4"/>
  <c r="H79" i="4"/>
  <c r="P78" i="4"/>
  <c r="O78" i="4"/>
  <c r="N78" i="4"/>
  <c r="M78" i="4"/>
  <c r="L78" i="4"/>
  <c r="K78" i="4"/>
  <c r="J78" i="4"/>
  <c r="I78" i="4"/>
  <c r="H78" i="4"/>
  <c r="P77" i="4"/>
  <c r="O77" i="4"/>
  <c r="N77" i="4"/>
  <c r="M77" i="4"/>
  <c r="L77" i="4"/>
  <c r="K77" i="4"/>
  <c r="J77" i="4"/>
  <c r="I77" i="4"/>
  <c r="H77" i="4"/>
  <c r="P76" i="4"/>
  <c r="O76" i="4"/>
  <c r="N76" i="4"/>
  <c r="M76" i="4"/>
  <c r="L76" i="4"/>
  <c r="K76" i="4"/>
  <c r="J76" i="4"/>
  <c r="I76" i="4"/>
  <c r="H76" i="4"/>
  <c r="P75" i="4"/>
  <c r="O75" i="4"/>
  <c r="N75" i="4"/>
  <c r="M75" i="4"/>
  <c r="L75" i="4"/>
  <c r="K75" i="4"/>
  <c r="J75" i="4"/>
  <c r="I75" i="4"/>
  <c r="H75" i="4"/>
  <c r="P74" i="4"/>
  <c r="O74" i="4"/>
  <c r="N74" i="4"/>
  <c r="M74" i="4"/>
  <c r="L74" i="4"/>
  <c r="K74" i="4"/>
  <c r="J74" i="4"/>
  <c r="I74" i="4"/>
  <c r="H74" i="4"/>
  <c r="P73" i="4"/>
  <c r="O73" i="4"/>
  <c r="N73" i="4"/>
  <c r="M73" i="4"/>
  <c r="L73" i="4"/>
  <c r="K73" i="4"/>
  <c r="J73" i="4"/>
  <c r="I73" i="4"/>
  <c r="H73" i="4"/>
  <c r="P72" i="4"/>
  <c r="O72" i="4"/>
  <c r="N72" i="4"/>
  <c r="M72" i="4"/>
  <c r="L72" i="4"/>
  <c r="K72" i="4"/>
  <c r="J72" i="4"/>
  <c r="I72" i="4"/>
  <c r="H72" i="4"/>
  <c r="P71" i="4"/>
  <c r="O71" i="4"/>
  <c r="N71" i="4"/>
  <c r="M71" i="4"/>
  <c r="L71" i="4"/>
  <c r="K71" i="4"/>
  <c r="J71" i="4"/>
  <c r="I71" i="4"/>
  <c r="H71" i="4"/>
  <c r="P70" i="4"/>
  <c r="O70" i="4"/>
  <c r="N70" i="4"/>
  <c r="M70" i="4"/>
  <c r="L70" i="4"/>
  <c r="K70" i="4"/>
  <c r="J70" i="4"/>
  <c r="I70" i="4"/>
  <c r="H70" i="4"/>
  <c r="P69" i="4"/>
  <c r="O69" i="4"/>
  <c r="N69" i="4"/>
  <c r="M69" i="4"/>
  <c r="L69" i="4"/>
  <c r="K69" i="4"/>
  <c r="J69" i="4"/>
  <c r="I69" i="4"/>
  <c r="H69" i="4"/>
  <c r="P68" i="4"/>
  <c r="O68" i="4"/>
  <c r="N68" i="4"/>
  <c r="M68" i="4"/>
  <c r="L68" i="4"/>
  <c r="K68" i="4"/>
  <c r="J68" i="4"/>
  <c r="I68" i="4"/>
  <c r="H68" i="4"/>
  <c r="P67" i="4"/>
  <c r="O67" i="4"/>
  <c r="N67" i="4"/>
  <c r="M67" i="4"/>
  <c r="L67" i="4"/>
  <c r="K67" i="4"/>
  <c r="J67" i="4"/>
  <c r="I67" i="4"/>
  <c r="H67" i="4"/>
  <c r="P66" i="4"/>
  <c r="O66" i="4"/>
  <c r="N66" i="4"/>
  <c r="M66" i="4"/>
  <c r="L66" i="4"/>
  <c r="K66" i="4"/>
  <c r="J66" i="4"/>
  <c r="I66" i="4"/>
  <c r="H66" i="4"/>
  <c r="P65" i="4"/>
  <c r="O65" i="4"/>
  <c r="N65" i="4"/>
  <c r="M65" i="4"/>
  <c r="L65" i="4"/>
  <c r="K65" i="4"/>
  <c r="J65" i="4"/>
  <c r="I65" i="4"/>
  <c r="H65" i="4"/>
  <c r="P64" i="4"/>
  <c r="O64" i="4"/>
  <c r="N64" i="4"/>
  <c r="M64" i="4"/>
  <c r="L64" i="4"/>
  <c r="K64" i="4"/>
  <c r="J64" i="4"/>
  <c r="I64" i="4"/>
  <c r="H64" i="4"/>
  <c r="P63" i="4"/>
  <c r="O63" i="4"/>
  <c r="N63" i="4"/>
  <c r="M63" i="4"/>
  <c r="L63" i="4"/>
  <c r="K63" i="4"/>
  <c r="J63" i="4"/>
  <c r="I63" i="4"/>
  <c r="H63" i="4"/>
  <c r="P62" i="4"/>
  <c r="O62" i="4"/>
  <c r="N62" i="4"/>
  <c r="M62" i="4"/>
  <c r="L62" i="4"/>
  <c r="K62" i="4"/>
  <c r="J62" i="4"/>
  <c r="I62" i="4"/>
  <c r="H62" i="4"/>
  <c r="P61" i="4"/>
  <c r="O61" i="4"/>
  <c r="N61" i="4"/>
  <c r="M61" i="4"/>
  <c r="L61" i="4"/>
  <c r="K61" i="4"/>
  <c r="J61" i="4"/>
  <c r="I61" i="4"/>
  <c r="H61" i="4"/>
  <c r="P60" i="4"/>
  <c r="O60" i="4"/>
  <c r="N60" i="4"/>
  <c r="M60" i="4"/>
  <c r="L60" i="4"/>
  <c r="K60" i="4"/>
  <c r="J60" i="4"/>
  <c r="I60" i="4"/>
  <c r="H60" i="4"/>
  <c r="P59" i="4"/>
  <c r="O59" i="4"/>
  <c r="N59" i="4"/>
  <c r="M59" i="4"/>
  <c r="L59" i="4"/>
  <c r="K59" i="4"/>
  <c r="J59" i="4"/>
  <c r="I59" i="4"/>
  <c r="H59" i="4"/>
  <c r="P58" i="4"/>
  <c r="O58" i="4"/>
  <c r="N58" i="4"/>
  <c r="M58" i="4"/>
  <c r="L58" i="4"/>
  <c r="K58" i="4"/>
  <c r="J58" i="4"/>
  <c r="I58" i="4"/>
  <c r="H58" i="4"/>
  <c r="P57" i="4"/>
  <c r="O57" i="4"/>
  <c r="N57" i="4"/>
  <c r="M57" i="4"/>
  <c r="L57" i="4"/>
  <c r="K57" i="4"/>
  <c r="J57" i="4"/>
  <c r="I57" i="4"/>
  <c r="H57" i="4"/>
  <c r="P56" i="4"/>
  <c r="O56" i="4"/>
  <c r="N56" i="4"/>
  <c r="M56" i="4"/>
  <c r="L56" i="4"/>
  <c r="K56" i="4"/>
  <c r="J56" i="4"/>
  <c r="I56" i="4"/>
  <c r="H56" i="4"/>
  <c r="P55" i="4"/>
  <c r="O55" i="4"/>
  <c r="N55" i="4"/>
  <c r="M55" i="4"/>
  <c r="L55" i="4"/>
  <c r="K55" i="4"/>
  <c r="J55" i="4"/>
  <c r="I55" i="4"/>
  <c r="H55" i="4"/>
  <c r="P54" i="4"/>
  <c r="O54" i="4"/>
  <c r="N54" i="4"/>
  <c r="M54" i="4"/>
  <c r="L54" i="4"/>
  <c r="K54" i="4"/>
  <c r="J54" i="4"/>
  <c r="I54" i="4"/>
  <c r="H54" i="4"/>
  <c r="P53" i="4"/>
  <c r="O53" i="4"/>
  <c r="N53" i="4"/>
  <c r="M53" i="4"/>
  <c r="L53" i="4"/>
  <c r="K53" i="4"/>
  <c r="J53" i="4"/>
  <c r="I53" i="4"/>
  <c r="H53" i="4"/>
  <c r="P52" i="4"/>
  <c r="O52" i="4"/>
  <c r="N52" i="4"/>
  <c r="M52" i="4"/>
  <c r="L52" i="4"/>
  <c r="K52" i="4"/>
  <c r="J52" i="4"/>
  <c r="I52" i="4"/>
  <c r="H52" i="4"/>
  <c r="P51" i="4"/>
  <c r="O51" i="4"/>
  <c r="N51" i="4"/>
  <c r="M51" i="4"/>
  <c r="L51" i="4"/>
  <c r="K51" i="4"/>
  <c r="J51" i="4"/>
  <c r="I51" i="4"/>
  <c r="H51" i="4"/>
  <c r="P50" i="4"/>
  <c r="O50" i="4"/>
  <c r="N50" i="4"/>
  <c r="M50" i="4"/>
  <c r="L50" i="4"/>
  <c r="K50" i="4"/>
  <c r="J50" i="4"/>
  <c r="I50" i="4"/>
  <c r="H50" i="4"/>
  <c r="P49" i="4"/>
  <c r="O49" i="4"/>
  <c r="N49" i="4"/>
  <c r="M49" i="4"/>
  <c r="L49" i="4"/>
  <c r="K49" i="4"/>
  <c r="J49" i="4"/>
  <c r="I49" i="4"/>
  <c r="H49" i="4"/>
  <c r="P48" i="4"/>
  <c r="O48" i="4"/>
  <c r="N48" i="4"/>
  <c r="M48" i="4"/>
  <c r="L48" i="4"/>
  <c r="K48" i="4"/>
  <c r="J48" i="4"/>
  <c r="I48" i="4"/>
  <c r="H48" i="4"/>
  <c r="P47" i="4"/>
  <c r="O47" i="4"/>
  <c r="N47" i="4"/>
  <c r="M47" i="4"/>
  <c r="L47" i="4"/>
  <c r="K47" i="4"/>
  <c r="J47" i="4"/>
  <c r="I47" i="4"/>
  <c r="H47" i="4"/>
  <c r="P46" i="4"/>
  <c r="O46" i="4"/>
  <c r="N46" i="4"/>
  <c r="M46" i="4"/>
  <c r="L46" i="4"/>
  <c r="K46" i="4"/>
  <c r="J46" i="4"/>
  <c r="I46" i="4"/>
  <c r="H46" i="4"/>
  <c r="P45" i="4"/>
  <c r="O45" i="4"/>
  <c r="N45" i="4"/>
  <c r="M45" i="4"/>
  <c r="L45" i="4"/>
  <c r="K45" i="4"/>
  <c r="J45" i="4"/>
  <c r="I45" i="4"/>
  <c r="H45" i="4"/>
  <c r="P44" i="4"/>
  <c r="O44" i="4"/>
  <c r="N44" i="4"/>
  <c r="M44" i="4"/>
  <c r="L44" i="4"/>
  <c r="K44" i="4"/>
  <c r="J44" i="4"/>
  <c r="I44" i="4"/>
  <c r="H44" i="4"/>
  <c r="P43" i="4"/>
  <c r="O43" i="4"/>
  <c r="N43" i="4"/>
  <c r="M43" i="4"/>
  <c r="L43" i="4"/>
  <c r="K43" i="4"/>
  <c r="J43" i="4"/>
  <c r="I43" i="4"/>
  <c r="H43" i="4"/>
  <c r="P42" i="4"/>
  <c r="O42" i="4"/>
  <c r="N42" i="4"/>
  <c r="M42" i="4"/>
  <c r="L42" i="4"/>
  <c r="K42" i="4"/>
  <c r="J42" i="4"/>
  <c r="I42" i="4"/>
  <c r="H42" i="4"/>
  <c r="P41" i="4"/>
  <c r="O41" i="4"/>
  <c r="N41" i="4"/>
  <c r="M41" i="4"/>
  <c r="L41" i="4"/>
  <c r="K41" i="4"/>
  <c r="J41" i="4"/>
  <c r="I41" i="4"/>
  <c r="H41" i="4"/>
  <c r="P40" i="4"/>
  <c r="O40" i="4"/>
  <c r="N40" i="4"/>
  <c r="M40" i="4"/>
  <c r="L40" i="4"/>
  <c r="K40" i="4"/>
  <c r="J40" i="4"/>
  <c r="I40" i="4"/>
  <c r="H40" i="4"/>
  <c r="P39" i="4"/>
  <c r="O39" i="4"/>
  <c r="N39" i="4"/>
  <c r="M39" i="4"/>
  <c r="L39" i="4"/>
  <c r="K39" i="4"/>
  <c r="J39" i="4"/>
  <c r="I39" i="4"/>
  <c r="H39" i="4"/>
  <c r="P38" i="4"/>
  <c r="O38" i="4"/>
  <c r="N38" i="4"/>
  <c r="M38" i="4"/>
  <c r="L38" i="4"/>
  <c r="K38" i="4"/>
  <c r="J38" i="4"/>
  <c r="I38" i="4"/>
  <c r="H38" i="4"/>
  <c r="P37" i="4"/>
  <c r="O37" i="4"/>
  <c r="N37" i="4"/>
  <c r="M37" i="4"/>
  <c r="L37" i="4"/>
  <c r="K37" i="4"/>
  <c r="J37" i="4"/>
  <c r="I37" i="4"/>
  <c r="H37" i="4"/>
  <c r="P36" i="4"/>
  <c r="O36" i="4"/>
  <c r="N36" i="4"/>
  <c r="M36" i="4"/>
  <c r="L36" i="4"/>
  <c r="K36" i="4"/>
  <c r="J36" i="4"/>
  <c r="I36" i="4"/>
  <c r="H36" i="4"/>
  <c r="P35" i="4"/>
  <c r="O35" i="4"/>
  <c r="N35" i="4"/>
  <c r="M35" i="4"/>
  <c r="L35" i="4"/>
  <c r="K35" i="4"/>
  <c r="J35" i="4"/>
  <c r="I35" i="4"/>
  <c r="H35" i="4"/>
  <c r="P34" i="4"/>
  <c r="O34" i="4"/>
  <c r="N34" i="4"/>
  <c r="M34" i="4"/>
  <c r="L34" i="4"/>
  <c r="K34" i="4"/>
  <c r="J34" i="4"/>
  <c r="I34" i="4"/>
  <c r="H34" i="4"/>
  <c r="P33" i="4"/>
  <c r="O33" i="4"/>
  <c r="N33" i="4"/>
  <c r="M33" i="4"/>
  <c r="L33" i="4"/>
  <c r="K33" i="4"/>
  <c r="J33" i="4"/>
  <c r="I33" i="4"/>
  <c r="H33" i="4"/>
  <c r="P32" i="4"/>
  <c r="O32" i="4"/>
  <c r="N32" i="4"/>
  <c r="M32" i="4"/>
  <c r="L32" i="4"/>
  <c r="K32" i="4"/>
  <c r="J32" i="4"/>
  <c r="I32" i="4"/>
  <c r="H32" i="4"/>
  <c r="P31" i="4"/>
  <c r="O31" i="4"/>
  <c r="N31" i="4"/>
  <c r="M31" i="4"/>
  <c r="L31" i="4"/>
  <c r="K31" i="4"/>
  <c r="J31" i="4"/>
  <c r="I31" i="4"/>
  <c r="H31" i="4"/>
  <c r="P30" i="4"/>
  <c r="O30" i="4"/>
  <c r="N30" i="4"/>
  <c r="M30" i="4"/>
  <c r="L30" i="4"/>
  <c r="K30" i="4"/>
  <c r="J30" i="4"/>
  <c r="I30" i="4"/>
  <c r="H30" i="4"/>
  <c r="P29" i="4"/>
  <c r="O29" i="4"/>
  <c r="N29" i="4"/>
  <c r="M29" i="4"/>
  <c r="L29" i="4"/>
  <c r="K29" i="4"/>
  <c r="J29" i="4"/>
  <c r="I29" i="4"/>
  <c r="H29" i="4"/>
  <c r="P28" i="4"/>
  <c r="O28" i="4"/>
  <c r="N28" i="4"/>
  <c r="M28" i="4"/>
  <c r="L28" i="4"/>
  <c r="K28" i="4"/>
  <c r="J28" i="4"/>
  <c r="I28" i="4"/>
  <c r="H28" i="4"/>
  <c r="P27" i="4"/>
  <c r="O27" i="4"/>
  <c r="N27" i="4"/>
  <c r="M27" i="4"/>
  <c r="L27" i="4"/>
  <c r="K27" i="4"/>
  <c r="J27" i="4"/>
  <c r="I27" i="4"/>
  <c r="H27" i="4"/>
  <c r="P26" i="4"/>
  <c r="O26" i="4"/>
  <c r="N26" i="4"/>
  <c r="M26" i="4"/>
  <c r="L26" i="4"/>
  <c r="K26" i="4"/>
  <c r="J26" i="4"/>
  <c r="I26" i="4"/>
  <c r="H26" i="4"/>
  <c r="P25" i="4"/>
  <c r="O25" i="4"/>
  <c r="N25" i="4"/>
  <c r="M25" i="4"/>
  <c r="L25" i="4"/>
  <c r="K25" i="4"/>
  <c r="J25" i="4"/>
  <c r="I25" i="4"/>
  <c r="H25" i="4"/>
  <c r="P24" i="4"/>
  <c r="O24" i="4"/>
  <c r="N24" i="4"/>
  <c r="M24" i="4"/>
  <c r="L24" i="4"/>
  <c r="K24" i="4"/>
  <c r="J24" i="4"/>
  <c r="I24" i="4"/>
  <c r="H24" i="4"/>
  <c r="P23" i="4"/>
  <c r="O23" i="4"/>
  <c r="N23" i="4"/>
  <c r="M23" i="4"/>
  <c r="L23" i="4"/>
  <c r="K23" i="4"/>
  <c r="J23" i="4"/>
  <c r="I23" i="4"/>
  <c r="H23" i="4"/>
  <c r="P22" i="4"/>
  <c r="O22" i="4"/>
  <c r="N22" i="4"/>
  <c r="M22" i="4"/>
  <c r="L22" i="4"/>
  <c r="K22" i="4"/>
  <c r="J22" i="4"/>
  <c r="I22" i="4"/>
  <c r="H22" i="4"/>
  <c r="P21" i="4"/>
  <c r="O21" i="4"/>
  <c r="N21" i="4"/>
  <c r="M21" i="4"/>
  <c r="L21" i="4"/>
  <c r="K21" i="4"/>
  <c r="J21" i="4"/>
  <c r="I21" i="4"/>
  <c r="H21" i="4"/>
  <c r="P20" i="4"/>
  <c r="O20" i="4"/>
  <c r="N20" i="4"/>
  <c r="M20" i="4"/>
  <c r="L20" i="4"/>
  <c r="K20" i="4"/>
  <c r="J20" i="4"/>
  <c r="I20" i="4"/>
  <c r="H20" i="4"/>
  <c r="P19" i="4"/>
  <c r="O19" i="4"/>
  <c r="N19" i="4"/>
  <c r="M19" i="4"/>
  <c r="L19" i="4"/>
  <c r="K19" i="4"/>
  <c r="J19" i="4"/>
  <c r="I19" i="4"/>
  <c r="H19" i="4"/>
  <c r="P18" i="4"/>
  <c r="O18" i="4"/>
  <c r="N18" i="4"/>
  <c r="M18" i="4"/>
  <c r="L18" i="4"/>
  <c r="K18" i="4"/>
  <c r="J18" i="4"/>
  <c r="I18" i="4"/>
  <c r="H18" i="4"/>
  <c r="P17" i="4"/>
  <c r="O17" i="4"/>
  <c r="N17" i="4"/>
  <c r="M17" i="4"/>
  <c r="L17" i="4"/>
  <c r="K17" i="4"/>
  <c r="J17" i="4"/>
  <c r="I17" i="4"/>
  <c r="H17" i="4"/>
  <c r="P16" i="4"/>
  <c r="O16" i="4"/>
  <c r="N16" i="4"/>
  <c r="M16" i="4"/>
  <c r="L16" i="4"/>
  <c r="K16" i="4"/>
  <c r="J16" i="4"/>
  <c r="I16" i="4"/>
  <c r="H16" i="4"/>
  <c r="P15" i="4"/>
  <c r="O15" i="4"/>
  <c r="N15" i="4"/>
  <c r="M15" i="4"/>
  <c r="L15" i="4"/>
  <c r="K15" i="4"/>
  <c r="J15" i="4"/>
  <c r="I15" i="4"/>
  <c r="H15" i="4"/>
  <c r="P14" i="4"/>
  <c r="O14" i="4"/>
  <c r="N14" i="4"/>
  <c r="M14" i="4"/>
  <c r="L14" i="4"/>
  <c r="K14" i="4"/>
  <c r="J14" i="4"/>
  <c r="I14" i="4"/>
  <c r="H14" i="4"/>
  <c r="P13" i="4"/>
  <c r="O13" i="4"/>
  <c r="N13" i="4"/>
  <c r="M13" i="4"/>
  <c r="L13" i="4"/>
  <c r="K13" i="4"/>
  <c r="J13" i="4"/>
  <c r="I13" i="4"/>
  <c r="H13" i="4"/>
  <c r="P12" i="4"/>
  <c r="O12" i="4"/>
  <c r="N12" i="4"/>
  <c r="M12" i="4"/>
  <c r="L12" i="4"/>
  <c r="K12" i="4"/>
  <c r="J12" i="4"/>
  <c r="I12" i="4"/>
  <c r="H12" i="4"/>
  <c r="P11" i="4"/>
  <c r="O11" i="4"/>
  <c r="N11" i="4"/>
  <c r="M11" i="4"/>
  <c r="L11" i="4"/>
  <c r="K11" i="4"/>
  <c r="J11" i="4"/>
  <c r="I11" i="4"/>
  <c r="H11" i="4"/>
  <c r="P10" i="4"/>
  <c r="O10" i="4"/>
  <c r="N10" i="4"/>
  <c r="M10" i="4"/>
  <c r="L10" i="4"/>
  <c r="K10" i="4"/>
  <c r="J10" i="4"/>
  <c r="I10" i="4"/>
  <c r="H10" i="4"/>
  <c r="P9" i="4"/>
  <c r="O9" i="4"/>
  <c r="N9" i="4"/>
  <c r="M9" i="4"/>
  <c r="L9" i="4"/>
  <c r="K9" i="4"/>
  <c r="J9" i="4"/>
  <c r="I9" i="4"/>
  <c r="H9" i="4"/>
  <c r="P8" i="4"/>
  <c r="O8" i="4"/>
  <c r="N8" i="4"/>
  <c r="M8" i="4"/>
  <c r="L8" i="4"/>
  <c r="K8" i="4"/>
  <c r="J8" i="4"/>
  <c r="I8" i="4"/>
  <c r="H8" i="4"/>
  <c r="P7" i="4"/>
  <c r="O7" i="4"/>
  <c r="N7" i="4"/>
  <c r="M7" i="4"/>
  <c r="L7" i="4"/>
  <c r="K7" i="4"/>
  <c r="J7" i="4"/>
  <c r="I7" i="4"/>
  <c r="H7" i="4"/>
  <c r="P6" i="4"/>
  <c r="O6" i="4"/>
  <c r="N6" i="4"/>
  <c r="M6" i="4"/>
  <c r="L6" i="4"/>
  <c r="K6" i="4"/>
  <c r="J6" i="4"/>
  <c r="I6" i="4"/>
  <c r="H6" i="4"/>
  <c r="P5" i="4"/>
  <c r="O5" i="4"/>
  <c r="N5" i="4"/>
  <c r="M5" i="4"/>
  <c r="L5" i="4"/>
  <c r="K5" i="4"/>
  <c r="J5" i="4"/>
  <c r="I5" i="4"/>
  <c r="C16" i="6" s="1"/>
  <c r="H5" i="4"/>
  <c r="AB104" i="3"/>
  <c r="AA104" i="3"/>
  <c r="AB103" i="3"/>
  <c r="AA103" i="3"/>
  <c r="AB102" i="3"/>
  <c r="AA102" i="3"/>
  <c r="AB101" i="3"/>
  <c r="AA101" i="3"/>
  <c r="AB100" i="3"/>
  <c r="AA100" i="3"/>
  <c r="AB99" i="3"/>
  <c r="AA99" i="3"/>
  <c r="AB98" i="3"/>
  <c r="AA98" i="3"/>
  <c r="AB97" i="3"/>
  <c r="AA97" i="3"/>
  <c r="AB96" i="3"/>
  <c r="AA96" i="3"/>
  <c r="AB95" i="3"/>
  <c r="AA95" i="3"/>
  <c r="AB94" i="3"/>
  <c r="AA94" i="3"/>
  <c r="AB93" i="3"/>
  <c r="AA93" i="3"/>
  <c r="AB92" i="3"/>
  <c r="AA92" i="3"/>
  <c r="AB91" i="3"/>
  <c r="AA91" i="3"/>
  <c r="AB90" i="3"/>
  <c r="AA90" i="3"/>
  <c r="AB89" i="3"/>
  <c r="AA89" i="3"/>
  <c r="AB88" i="3"/>
  <c r="AA88" i="3"/>
  <c r="AB87" i="3"/>
  <c r="AA87" i="3"/>
  <c r="AB86" i="3"/>
  <c r="AA86" i="3"/>
  <c r="AB85" i="3"/>
  <c r="AA85" i="3"/>
  <c r="AB84" i="3"/>
  <c r="AA84" i="3"/>
  <c r="AB83" i="3"/>
  <c r="AA83" i="3"/>
  <c r="AB82" i="3"/>
  <c r="AA82" i="3"/>
  <c r="AB81" i="3"/>
  <c r="AA81" i="3"/>
  <c r="AB80" i="3"/>
  <c r="AA80" i="3"/>
  <c r="AB79" i="3"/>
  <c r="AA79" i="3"/>
  <c r="AB78" i="3"/>
  <c r="AA78" i="3"/>
  <c r="AB77" i="3"/>
  <c r="AA77" i="3"/>
  <c r="AB76" i="3"/>
  <c r="AA76" i="3"/>
  <c r="AB75" i="3"/>
  <c r="AA75" i="3"/>
  <c r="AB74" i="3"/>
  <c r="AA74" i="3"/>
  <c r="AB73" i="3"/>
  <c r="AA73" i="3"/>
  <c r="AB72" i="3"/>
  <c r="AA72" i="3"/>
  <c r="AB71" i="3"/>
  <c r="AA71" i="3"/>
  <c r="AB70" i="3"/>
  <c r="AA70" i="3"/>
  <c r="AB69" i="3"/>
  <c r="AA69" i="3"/>
  <c r="AB68" i="3"/>
  <c r="AA68" i="3"/>
  <c r="AB67" i="3"/>
  <c r="AA67" i="3"/>
  <c r="AB66" i="3"/>
  <c r="AA66" i="3"/>
  <c r="AB65" i="3"/>
  <c r="AA65" i="3"/>
  <c r="AB64" i="3"/>
  <c r="AA64" i="3"/>
  <c r="AB63" i="3"/>
  <c r="AA63" i="3"/>
  <c r="AB62" i="3"/>
  <c r="AA62" i="3"/>
  <c r="AB61" i="3"/>
  <c r="AA61" i="3"/>
  <c r="AB60" i="3"/>
  <c r="AA60" i="3"/>
  <c r="AB59" i="3"/>
  <c r="AA59" i="3"/>
  <c r="AB58" i="3"/>
  <c r="AA58" i="3"/>
  <c r="AB57" i="3"/>
  <c r="AA57" i="3"/>
  <c r="AB56" i="3"/>
  <c r="AA56" i="3"/>
  <c r="AB55" i="3"/>
  <c r="AA55" i="3"/>
  <c r="AB54" i="3"/>
  <c r="AA54" i="3"/>
  <c r="AB53" i="3"/>
  <c r="AA53" i="3"/>
  <c r="AB52" i="3"/>
  <c r="AA52" i="3"/>
  <c r="AB51" i="3"/>
  <c r="AA51" i="3"/>
  <c r="AB50" i="3"/>
  <c r="AA50" i="3"/>
  <c r="AB49" i="3"/>
  <c r="AA49" i="3"/>
  <c r="AB48" i="3"/>
  <c r="AA48" i="3"/>
  <c r="AB47" i="3"/>
  <c r="AA47" i="3"/>
  <c r="AB46" i="3"/>
  <c r="AA46" i="3"/>
  <c r="AB45" i="3"/>
  <c r="AA45" i="3"/>
  <c r="AB44" i="3"/>
  <c r="AA44" i="3"/>
  <c r="AB43" i="3"/>
  <c r="AA43" i="3"/>
  <c r="AB42" i="3"/>
  <c r="AA42" i="3"/>
  <c r="AB41" i="3"/>
  <c r="AA41" i="3"/>
  <c r="AB40" i="3"/>
  <c r="AA40" i="3"/>
  <c r="AB39" i="3"/>
  <c r="AA39" i="3"/>
  <c r="AB38" i="3"/>
  <c r="AA38" i="3"/>
  <c r="AB37" i="3"/>
  <c r="AA37" i="3"/>
  <c r="AB36" i="3"/>
  <c r="AA36" i="3"/>
  <c r="AB35" i="3"/>
  <c r="AA35" i="3"/>
  <c r="AB34" i="3"/>
  <c r="AA34" i="3"/>
  <c r="AB33" i="3"/>
  <c r="AA33" i="3"/>
  <c r="AB32" i="3"/>
  <c r="AA32" i="3"/>
  <c r="AB31" i="3"/>
  <c r="AA31" i="3"/>
  <c r="AB30" i="3"/>
  <c r="AA30" i="3"/>
  <c r="AB29" i="3"/>
  <c r="AA29" i="3"/>
  <c r="AB28" i="3"/>
  <c r="AA28" i="3"/>
  <c r="AB27" i="3"/>
  <c r="AA27" i="3"/>
  <c r="AB26" i="3"/>
  <c r="AA26" i="3"/>
  <c r="AB25" i="3"/>
  <c r="AA25" i="3"/>
  <c r="AB24" i="3"/>
  <c r="AA24" i="3"/>
  <c r="AB23" i="3"/>
  <c r="AA23" i="3"/>
  <c r="AB22" i="3"/>
  <c r="AA22" i="3"/>
  <c r="AB21" i="3"/>
  <c r="AA21" i="3"/>
  <c r="AB20" i="3"/>
  <c r="AA20" i="3"/>
  <c r="AB19" i="3"/>
  <c r="AA19" i="3"/>
  <c r="AB18" i="3"/>
  <c r="AA18" i="3"/>
  <c r="AB17" i="3"/>
  <c r="AA17" i="3"/>
  <c r="AB16" i="3"/>
  <c r="AA16" i="3"/>
  <c r="AB15" i="3"/>
  <c r="AA15" i="3"/>
  <c r="AB14" i="3"/>
  <c r="AA14" i="3"/>
  <c r="AB13" i="3"/>
  <c r="AA13" i="3"/>
  <c r="AB12" i="3"/>
  <c r="AA12" i="3"/>
  <c r="AB11" i="3"/>
  <c r="AA11" i="3"/>
  <c r="AB10" i="3"/>
  <c r="AA10" i="3"/>
  <c r="AB9" i="3"/>
  <c r="AA9" i="3"/>
  <c r="AB8" i="3"/>
  <c r="AA8" i="3"/>
  <c r="AB7" i="3"/>
  <c r="AA7" i="3"/>
  <c r="AB6" i="3"/>
  <c r="AA6" i="3"/>
  <c r="AB5" i="3"/>
  <c r="AA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tc={F4FEB095-DFCB-4880-BDB5-18B844663964}</author>
    <author>tc={E40FC166-1038-431C-82BB-CB8FC70451D2}</author>
    <author>tc={3AA46E58-0D88-4A81-AC33-29678171C688}</author>
  </authors>
  <commentList>
    <comment ref="I36" authorId="0" shapeId="0" xr:uid="{F4FEB095-DFCB-4880-BDB5-18B844663964}">
      <text>
        <t>[Threaded comment]
Your version of Excel allows you to read this threaded comment; however, any edits to it will get removed if the file is opened in a newer version of Excel. Learn more: https://go.microsoft.com/fwlink/?linkid=870924
Comment:
    To check: I believe there is also a question (in most recent inspection) which asks the realized harvest of previous year. Maybe use that one?
Reply:
    Yes this data comes from the internal inspection form</t>
      </text>
    </comment>
    <comment ref="I37" authorId="1" shapeId="0" xr:uid="{E40FC166-1038-431C-82BB-CB8FC70451D2}">
      <text>
        <t xml:space="preserve">[Threaded comment]
Your version of Excel allows you to read this threaded comment; however, any edits to it will get removed if the file is opened in a newer version of Excel. Learn more: https://go.microsoft.com/fwlink/?linkid=870924
Comment:
    Or do 26 and 37 also both come from the most recent inspection form?
Reply:
    These fields are in the current GMR report of RA. If you want us to make changes then let me know. </t>
      </text>
    </comment>
    <comment ref="I39" authorId="2" shapeId="0" xr:uid="{3AA46E58-0D88-4A81-AC33-29678171C688}">
      <text>
        <t>[Threaded comment]
Your version of Excel allows you to read this threaded comment; however, any edits to it will get removed if the file is opened in a newer version of Excel. Learn more: https://go.microsoft.com/fwlink/?linkid=870924
Comment:
    And non single-plot farms? This is not the same as the plot id (i.e. unique per plot)?
Reply:
    Each plot has a unique ID in the system</t>
      </text>
    </comment>
  </commentList>
</comments>
</file>

<file path=xl/sharedStrings.xml><?xml version="1.0" encoding="utf-8"?>
<sst xmlns="http://schemas.openxmlformats.org/spreadsheetml/2006/main" count="494" uniqueCount="319">
  <si>
    <t>ImpactCocoa Data Management Platform</t>
  </si>
  <si>
    <t>Group Member Registry (GMR) – Reporting Template</t>
  </si>
  <si>
    <t>Rainforest Alliance Annex S13 – Version 1.3  |  Adapted for ImpactCocoa Database</t>
  </si>
  <si>
    <t>Document Code:</t>
  </si>
  <si>
    <t>SA-S-SD-14  (ImpactCocoa Edition)</t>
  </si>
  <si>
    <t>Version:</t>
  </si>
  <si>
    <t>1.3</t>
  </si>
  <si>
    <t>Applicable to:</t>
  </si>
  <si>
    <t>AgroEco Ghana – Cooperatives under ImpactCocoa Programme</t>
  </si>
  <si>
    <t>Crop:</t>
  </si>
  <si>
    <t>Cocoa (Theobroma cacao)</t>
  </si>
  <si>
    <t>Certification:</t>
  </si>
  <si>
    <t>Rainforest Alliance Farm Certification</t>
  </si>
  <si>
    <t>DB Source:</t>
  </si>
  <si>
    <t>ImpactCocoa PostgreSQL – farmer_master, plot_master,
inspection_records, cocoa_purchase</t>
  </si>
  <si>
    <t>Prepared by:</t>
  </si>
  <si>
    <t>Contact:</t>
  </si>
  <si>
    <t>Date:</t>
  </si>
  <si>
    <t>Reporting Year:</t>
  </si>
  <si>
    <t>⚠  This template is pre-mapped to the ImpactCocoa database schema.  Data must be exported from the ImpactCocoa platform and pasted into tabs 1–3 before submission to the Rainforest Alliance RACP portal.  All coordinates must be in WGS84 / EPSG:4326 decimal-degree format with a minimum of 6 decimal places.</t>
  </si>
  <si>
    <t>ImpactCocoa → Rainforest Alliance GMR  |  Field Mapping Reference</t>
  </si>
  <si>
    <t>This sheet maps every column in the GMR data tabs to the corresponding ImpactCocoa database table and field name.  Use it as the export specification when generating the GMR from the ImpactCocoa platform.</t>
  </si>
  <si>
    <t>GMR Tab</t>
  </si>
  <si>
    <t>GMR Col #</t>
  </si>
  <si>
    <t>GMR Column Name (RA)</t>
  </si>
  <si>
    <t>ImpactCocoa DB Table</t>
  </si>
  <si>
    <t>ImpactCocoa DB Field</t>
  </si>
  <si>
    <t>Data Type</t>
  </si>
  <si>
    <t>Mandatory?</t>
  </si>
  <si>
    <t>Transformation / Notes</t>
  </si>
  <si>
    <t>1. Farm Info</t>
  </si>
  <si>
    <t>1</t>
  </si>
  <si>
    <t>Unique Internal Farm ID</t>
  </si>
  <si>
    <t>plot_master</t>
  </si>
  <si>
    <t>plot_id</t>
  </si>
  <si>
    <t>TEXT</t>
  </si>
  <si>
    <t>★ Mandatory</t>
  </si>
  <si>
    <t>PK of the plot. Format: [COOP]-[COMM]-[HH]-[PLOT]. No duplicates.</t>
  </si>
  <si>
    <t>2</t>
  </si>
  <si>
    <t>National Farm ID</t>
  </si>
  <si>
    <t>—</t>
  </si>
  <si>
    <t>—  (N/A for Ghana)</t>
  </si>
  <si>
    <t>If avail.</t>
  </si>
  <si>
    <t>Not applicable for Ghana. Leave blank or enter 'N/A'.</t>
  </si>
  <si>
    <t>3</t>
  </si>
  <si>
    <t>Village / City</t>
  </si>
  <si>
    <t>community_master</t>
  </si>
  <si>
    <t>community_name</t>
  </si>
  <si>
    <t>Derivable via community_id FK on plot_master.</t>
  </si>
  <si>
    <t>4</t>
  </si>
  <si>
    <t>District / State / Province</t>
  </si>
  <si>
    <t>district  (via farmer_master)</t>
  </si>
  <si>
    <t>District stored in farmer_master; join via farmer_code.</t>
  </si>
  <si>
    <t>5</t>
  </si>
  <si>
    <t>Internal Inspection Region</t>
  </si>
  <si>
    <t>cooperative_master</t>
  </si>
  <si>
    <t>cooperative_name</t>
  </si>
  <si>
    <t>Optional</t>
  </si>
  <si>
    <t>Use cooperative name. Maps to IMS region grouping.</t>
  </si>
  <si>
    <t>6</t>
  </si>
  <si>
    <t>Total Farm Area (ha)</t>
  </si>
  <si>
    <t>area_acres × 0.405</t>
  </si>
  <si>
    <t>DECIMAL</t>
  </si>
  <si>
    <t>Convert: ha = area_acres × 0.405. Round to 2 decimal places.</t>
  </si>
  <si>
    <t>7</t>
  </si>
  <si>
    <t>Farm Type (Small / Large)</t>
  </si>
  <si>
    <t>DERIVED: area_acres × 0.405</t>
  </si>
  <si>
    <t>SELECT</t>
  </si>
  <si>
    <t>&lt; 4 ha = 'Small farm';  ≥ 4 ha = 'Large farm'.</t>
  </si>
  <si>
    <t>8</t>
  </si>
  <si>
    <t>Number of Farm Units</t>
  </si>
  <si>
    <t>COUNT(plot_id) per farmer_code</t>
  </si>
  <si>
    <t>INTEGER</t>
  </si>
  <si>
    <t>Count of plot rows linked to this farmer_code.</t>
  </si>
  <si>
    <t>9</t>
  </si>
  <si>
    <t>Number of Certified Crops</t>
  </si>
  <si>
    <t>HARDCODE: 1</t>
  </si>
  <si>
    <t>ImpactCocoa scope = cocoa only. Always 1.</t>
  </si>
  <si>
    <t>10</t>
  </si>
  <si>
    <t>Operator First Name</t>
  </si>
  <si>
    <t>operator_first_name</t>
  </si>
  <si>
    <t>Farm operator identity — EUDR field.</t>
  </si>
  <si>
    <t>11</t>
  </si>
  <si>
    <t>Operator Surname</t>
  </si>
  <si>
    <t>operator_last_name</t>
  </si>
  <si>
    <t>12</t>
  </si>
  <si>
    <t>Operator Phone Number</t>
  </si>
  <si>
    <t>operator_phone</t>
  </si>
  <si>
    <t>13</t>
  </si>
  <si>
    <t>Operator National ID</t>
  </si>
  <si>
    <t>operator_ghana_card</t>
  </si>
  <si>
    <t>Ghana Card number. Mandatory for Ghana per RA guidance.</t>
  </si>
  <si>
    <t>14</t>
  </si>
  <si>
    <t>Operator Gender</t>
  </si>
  <si>
    <t>operator_gender</t>
  </si>
  <si>
    <t>Values: Male / Female.</t>
  </si>
  <si>
    <t>15</t>
  </si>
  <si>
    <t>Operator Year of Birth</t>
  </si>
  <si>
    <t>YEAR(operator_dob)</t>
  </si>
  <si>
    <t>Extract year from operator_dob (date). e.g. 1978.</t>
  </si>
  <si>
    <t>16</t>
  </si>
  <si>
    <t>Owner First Name</t>
  </si>
  <si>
    <t>farmer_master</t>
  </si>
  <si>
    <t>first_name</t>
  </si>
  <si>
    <t>If diff.</t>
  </si>
  <si>
    <t>Only if owner ≠ operator. Source: farmer_master.</t>
  </si>
  <si>
    <t>17</t>
  </si>
  <si>
    <t>Owner Surname</t>
  </si>
  <si>
    <t>surname</t>
  </si>
  <si>
    <t>18</t>
  </si>
  <si>
    <t>Owner Phone Number</t>
  </si>
  <si>
    <t>phone_number</t>
  </si>
  <si>
    <t>19</t>
  </si>
  <si>
    <t>Owner National ID</t>
  </si>
  <si>
    <t>ghana_card_number</t>
  </si>
  <si>
    <t>Ghana Card number of the farm owner.</t>
  </si>
  <si>
    <t>20</t>
  </si>
  <si>
    <t>Owner Gender</t>
  </si>
  <si>
    <t>gender</t>
  </si>
  <si>
    <t>21</t>
  </si>
  <si>
    <t>Permanent Workers</t>
  </si>
  <si>
    <t>inspection_records</t>
  </si>
  <si>
    <t>number_of_permanent_staff</t>
  </si>
  <si>
    <t>From most recent inspection for this plot_id.</t>
  </si>
  <si>
    <t>22</t>
  </si>
  <si>
    <t>Est. Temporary Workers/year</t>
  </si>
  <si>
    <t>number_of_temporary_staff</t>
  </si>
  <si>
    <t>23</t>
  </si>
  <si>
    <t>Internal Inspector Name</t>
  </si>
  <si>
    <t>inspector_name</t>
  </si>
  <si>
    <t>From inspection_records joined to staff_master.</t>
  </si>
  <si>
    <t>24</t>
  </si>
  <si>
    <t>Inspection Year</t>
  </si>
  <si>
    <t>YEAR(date_of_inspection)</t>
  </si>
  <si>
    <t>4-digit year, e.g. 2025.</t>
  </si>
  <si>
    <t>25</t>
  </si>
  <si>
    <t>Inspection Month</t>
  </si>
  <si>
    <t>MONTH(date_of_inspection)</t>
  </si>
  <si>
    <t>Numeric month 1–12.</t>
  </si>
  <si>
    <t>26</t>
  </si>
  <si>
    <t>Inspection Day</t>
  </si>
  <si>
    <t>DAY(date_of_inspection)</t>
  </si>
  <si>
    <t>Numeric day 1–31.</t>
  </si>
  <si>
    <t>2. Cert. Crop</t>
  </si>
  <si>
    <t>Must match exactly to Tab 1 Col 1.</t>
  </si>
  <si>
    <t>Certified Crop</t>
  </si>
  <si>
    <t>HARDCODE: 'Cocoa'</t>
  </si>
  <si>
    <t>Always 'Cocoa' for ImpactCocoa.</t>
  </si>
  <si>
    <t>Variety</t>
  </si>
  <si>
    <t>cocoa_variety</t>
  </si>
  <si>
    <t>Values: Hybrid / Amazon / Amelonado / Other. Map to RA crop list.</t>
  </si>
  <si>
    <t>Certified Crop Area (ha)</t>
  </si>
  <si>
    <t>Same conversion as Tab 1 Col 6.</t>
  </si>
  <si>
    <t>Harvest Estimate Current Year</t>
  </si>
  <si>
    <t>total_estimate_next_season_kg</t>
  </si>
  <si>
    <t>Reported in kg. From most recent inspection.</t>
  </si>
  <si>
    <t>Harvest Previous Year (kg)</t>
  </si>
  <si>
    <t>total_harvest_current_season_kg</t>
  </si>
  <si>
    <t>Reported in kg. From previous season inspection.</t>
  </si>
  <si>
    <t>Volume Sold to Group prev. yr</t>
  </si>
  <si>
    <t>total_sold_to_group_current_season_kg</t>
  </si>
  <si>
    <t>kg sold to cooperative in previous year.</t>
  </si>
  <si>
    <t>3. Farm Unit</t>
  </si>
  <si>
    <t>Must match Tab 1 Col 1.</t>
  </si>
  <si>
    <t>Farm Unit ID</t>
  </si>
  <si>
    <t>For single-plot farms, same as Unique Internal Farm ID.</t>
  </si>
  <si>
    <t>Farm Unit Area (ha)</t>
  </si>
  <si>
    <t>Same conversion rule.</t>
  </si>
  <si>
    <t>Latitude (DD format)</t>
  </si>
  <si>
    <t>farm_gps_point  [lat]</t>
  </si>
  <si>
    <t>Extract latitude from GPS point. WGS84 DD. Min 6 decimal places. Required for largest plot.</t>
  </si>
  <si>
    <t>Longitude (DD format)</t>
  </si>
  <si>
    <t>farm_gps_point  [lng]</t>
  </si>
  <si>
    <t>Extract longitude from GPS point. WGS84 DD. Min 6 decimal places. Required for largest plot.</t>
  </si>
  <si>
    <t>ImpactCocoa – Group Member Registry  |  Tab 1: Farm Information  |  Rainforest Alliance Annex S13 v1.3</t>
  </si>
  <si>
    <t>FARM</t>
  </si>
  <si>
    <t>FARM OPERATOR</t>
  </si>
  <si>
    <t>FARM OWNER  (if different from operator — main owner)</t>
  </si>
  <si>
    <t>WORKERS</t>
  </si>
  <si>
    <t>INTERNAL INSPECTION DATA</t>
  </si>
  <si>
    <t>VALIDATION (auto)</t>
  </si>
  <si>
    <t>1. Unique Internal
Farm ID *
(= plot_id)</t>
  </si>
  <si>
    <t>2. National Farm ID
(N/A – Ghana)</t>
  </si>
  <si>
    <t>3. Village / City *</t>
  </si>
  <si>
    <t>4. District *</t>
  </si>
  <si>
    <t>5. Inspection
Region</t>
  </si>
  <si>
    <t>6. Total Farm
Area (ha) *</t>
  </si>
  <si>
    <t>7. Farm Type *
(Small/Large)</t>
  </si>
  <si>
    <t>8. No. of
Farm Units *</t>
  </si>
  <si>
    <t>9. No. of
Certified Crops *</t>
  </si>
  <si>
    <t>10. First Name *
(Operator)</t>
  </si>
  <si>
    <t>11. Surname *
(Operator)</t>
  </si>
  <si>
    <t>12. Phone Number
(Operator)</t>
  </si>
  <si>
    <t>13. Ghana Card No.
(Operator) **</t>
  </si>
  <si>
    <t>14. Gender *
(Operator)</t>
  </si>
  <si>
    <t>15. Year of
Birth * (Operator)</t>
  </si>
  <si>
    <t>16. First Name
(Owner)</t>
  </si>
  <si>
    <t>17. Surname
(Owner)</t>
  </si>
  <si>
    <t>18. Phone No.
(Owner)</t>
  </si>
  <si>
    <t>19. Ghana Card
(Owner)</t>
  </si>
  <si>
    <t>20. Gender
(Owner)</t>
  </si>
  <si>
    <t>21. Permanent
Workers *</t>
  </si>
  <si>
    <t>22. Est. Temporary
Workers/yr *</t>
  </si>
  <si>
    <t>23. Inspector
Name *</t>
  </si>
  <si>
    <t>24. Inspection
Year *</t>
  </si>
  <si>
    <t>25. Inspection
Month *</t>
  </si>
  <si>
    <t>26. Inspection
Day *</t>
  </si>
  <si>
    <t>✓ Farm ID in
Tab 2</t>
  </si>
  <si>
    <t>✓ Farm ID in
Tab 3</t>
  </si>
  <si>
    <t>plot_master
.plot_id</t>
  </si>
  <si>
    <t>N/A</t>
  </si>
  <si>
    <t>community_master
.community_name</t>
  </si>
  <si>
    <t>farmer_master
.district</t>
  </si>
  <si>
    <t>cooperative_master
.cooperative_name</t>
  </si>
  <si>
    <t>plot_master
area_acres ×0.405</t>
  </si>
  <si>
    <t>DERIVED
from area (ha)</t>
  </si>
  <si>
    <t>COUNT(plot_id)
per farmer_code</t>
  </si>
  <si>
    <t>HARDCODE
= 1</t>
  </si>
  <si>
    <t>plot_master
.operator_first_name</t>
  </si>
  <si>
    <t>plot_master
.operator_last_name</t>
  </si>
  <si>
    <t>plot_master
.operator_phone</t>
  </si>
  <si>
    <t>plot_master
.operator_ghana_card</t>
  </si>
  <si>
    <t>plot_master
.operator_gender</t>
  </si>
  <si>
    <t>plot_master
YEAR(operator_dob)</t>
  </si>
  <si>
    <t>farmer_master
.first_name</t>
  </si>
  <si>
    <t>farmer_master
.surname</t>
  </si>
  <si>
    <t>farmer_master
.phone_number</t>
  </si>
  <si>
    <t>farmer_master
.ghana_card_number</t>
  </si>
  <si>
    <t>farmer_master
.gender</t>
  </si>
  <si>
    <t>inspection_records
.permanent_staff</t>
  </si>
  <si>
    <t>inspection_records
.temporary_staff</t>
  </si>
  <si>
    <t>inspection_records
.inspector_name</t>
  </si>
  <si>
    <t>inspection_records
YEAR(insp_date)</t>
  </si>
  <si>
    <t>inspection_records
MONTH(insp_date)</t>
  </si>
  <si>
    <t>inspection_records
DAY(insp_date)</t>
  </si>
  <si>
    <t>AUTO-CALC
(formula)</t>
  </si>
  <si>
    <t>ImpactCocoa – Group Member Registry  |  Tab 2: Certified Crop &amp; Volumes  |  Rainforest Alliance Annex S13 v1.3</t>
  </si>
  <si>
    <t>CERTIFIED CROP AND VOLUMES INFORMATION</t>
  </si>
  <si>
    <t>USEFUL ANALYSIS (auto-calculated)</t>
  </si>
  <si>
    <t>2. Certified
Crop *</t>
  </si>
  <si>
    <t>3. Variety
(see RA crop list)</t>
  </si>
  <si>
    <t>4. Certified Crop
Area * (ha)</t>
  </si>
  <si>
    <t>5. Total Harvest
Estimate – Current
Year * (kg)</t>
  </si>
  <si>
    <t>6. Total Harvest
Previous Year * (kg)</t>
  </si>
  <si>
    <t>7. Volume Sold /
Delivered to Group
Prev. Year * (kg)</t>
  </si>
  <si>
    <t>✓ Farm ID in
Tab 1</t>
  </si>
  <si>
    <t>⚠ Volume &gt;
Harvest?</t>
  </si>
  <si>
    <t>📈 Harvest
Growth %</t>
  </si>
  <si>
    <t>Estimated
Yield / ha
(curr. yr)</t>
  </si>
  <si>
    <t>Last Year
Yield / ha</t>
  </si>
  <si>
    <t>% Sold
to Group</t>
  </si>
  <si>
    <t>Bags equiv.
(÷64 kg/bag)
Curr. yr</t>
  </si>
  <si>
    <t>Bags equiv.
(÷64 kg/bag)
Prev. yr</t>
  </si>
  <si>
    <t>Bags equiv.
Sold to Group</t>
  </si>
  <si>
    <t>Notes</t>
  </si>
  <si>
    <t>HARDCODE
'Cocoa'</t>
  </si>
  <si>
    <t>plot_master
.cocoa_variety</t>
  </si>
  <si>
    <t>plot_master
area_acres×0.405</t>
  </si>
  <si>
    <t>inspection_records
.total_estimate_next_season_kg</t>
  </si>
  <si>
    <t>inspection_records
.total_harvest_current_season_kg</t>
  </si>
  <si>
    <t>inspection_records
.total_sold_to_group_current_season_kg</t>
  </si>
  <si>
    <t>AUTO</t>
  </si>
  <si>
    <t>Free text</t>
  </si>
  <si>
    <t>ImpactCocoa – Group Member Registry  |  Tab 3: Farm Units &amp; GPS Coordinates  |  Rainforest Alliance Annex S13 v1.3</t>
  </si>
  <si>
    <t>FARM UNIT INFORMATION — WGS84 / EPSG:4326  |  Decimal Degrees  |  Minimum 6 decimal places</t>
  </si>
  <si>
    <t>VALIDATION (auto-calculated)</t>
  </si>
  <si>
    <t>2. Farm Unit ID *
(= plot_id for
single-plot farms)</t>
  </si>
  <si>
    <t>3. Farm Unit
Area * (ha)</t>
  </si>
  <si>
    <t>4. Latitude **
(DD – WGS84)
≥ 6 decimal places</t>
  </si>
  <si>
    <t>5. Longitude **
(DD – WGS84)
≥ 6 decimal places</t>
  </si>
  <si>
    <t>✓ Farm ID
in Tab 1</t>
  </si>
  <si>
    <t>Latitude
Check</t>
  </si>
  <si>
    <t>Longitude
Check</t>
  </si>
  <si>
    <t>Largest
Unit?</t>
  </si>
  <si>
    <t>plot_master
.plot_id
(same for single plot)</t>
  </si>
  <si>
    <t>plot_master
farm_gps_point
[latitude component]</t>
  </si>
  <si>
    <t>plot_master
farm_gps_point
[longitude component]</t>
  </si>
  <si>
    <t>ImpactCocoa GMR Dashboard – Summary of Group Information</t>
  </si>
  <si>
    <t>Fill in tabs 1, 2, and 3 first — then review the indicators below. Numbers update automatically when data is entered.</t>
  </si>
  <si>
    <t>COMPLETENESS – Tab 1: Farm Information</t>
  </si>
  <si>
    <t>Total farms registered (unique Farm IDs)</t>
  </si>
  <si>
    <t>Count of non-blank Farm ID cells in Tab 1</t>
  </si>
  <si>
    <t>Farms with missing inspection data</t>
  </si>
  <si>
    <t>Farms whose Farm ID is absent in Tab 2</t>
  </si>
  <si>
    <t>Farms with missing farm unit data</t>
  </si>
  <si>
    <t>Farms whose Farm ID is absent in Tab 3</t>
  </si>
  <si>
    <t>COMPLETENESS – Tab 2: Certified Crop</t>
  </si>
  <si>
    <t>Total crop records</t>
  </si>
  <si>
    <t>Rows with a Farm ID in Tab 2</t>
  </si>
  <si>
    <t>Total certified crop area (ha)</t>
  </si>
  <si>
    <t>Sum of column 4 – Certified crop area (ha)</t>
  </si>
  <si>
    <t>Total harvest estimate – current year (kg)</t>
  </si>
  <si>
    <t>Sum of column 5 – Harvest estimate current year</t>
  </si>
  <si>
    <t>Total harvest – previous year (kg)</t>
  </si>
  <si>
    <t>Sum of column 6 – Harvest previous year</t>
  </si>
  <si>
    <t>Total volume sold to group – prev. year (kg)</t>
  </si>
  <si>
    <t>Sum of column 7 – Volume sold to group</t>
  </si>
  <si>
    <t>Avg. yield / ha – current year estimate (kg/ha)</t>
  </si>
  <si>
    <t>Total current harvest ÷ total certified area</t>
  </si>
  <si>
    <t>Avg. yield / ha – previous year (kg/ha)</t>
  </si>
  <si>
    <t>Total prev. harvest ÷ total certified area</t>
  </si>
  <si>
    <t>Volume sold &gt; Harvest warnings</t>
  </si>
  <si>
    <t>Rows where sold volume exceeds harvest — review required</t>
  </si>
  <si>
    <t>COMPLETENESS – Tab 3: Farm Units (GPS)</t>
  </si>
  <si>
    <t>Total farm unit records</t>
  </si>
  <si>
    <t>Count of farm unit rows in Tab 3</t>
  </si>
  <si>
    <t>Total farm unit area (ha)</t>
  </si>
  <si>
    <t>Sum of column 3 – Farm unit area</t>
  </si>
  <si>
    <t>Latitude errors / missing</t>
  </si>
  <si>
    <t>Latitude values outside valid -90 to +90 range</t>
  </si>
  <si>
    <t>Longitude errors / missing</t>
  </si>
  <si>
    <t>Longitude values outside valid -180 to +180 range</t>
  </si>
  <si>
    <t>Largest units identified</t>
  </si>
  <si>
    <t>Farms with largest farm unit flagged (one per Farm ID expected)</t>
  </si>
  <si>
    <t>WORKFORCE SUMMARY</t>
  </si>
  <si>
    <t>Total permanent workers (all farms)</t>
  </si>
  <si>
    <t>Sum of column 21 – Permanent workers</t>
  </si>
  <si>
    <t>Total est. temporary workers/year (all farms)</t>
  </si>
  <si>
    <t>Sum of column 22 – Temporary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</si>
</sst>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1"/>
      <color theme="1"/>
      <name val="Calibri"/>
      <family val="2"/>
      <charset val="1"/>
    </font>
    <font>
      <b/>
      <sz val="16"/>
      <color rgb="FFFFFFFF"/>
      <name val="Arial"/>
      <charset val="1"/>
    </font>
    <font>
      <b/>
      <sz val="13"/>
      <color rgb="FFFFFFFF"/>
      <name val="Arial"/>
      <charset val="1"/>
    </font>
    <font>
      <i/>
      <sz val="10"/>
      <color rgb="FFC8E6C9"/>
      <name val="Arial"/>
      <charset val="1"/>
    </font>
    <font>
      <b/>
      <sz val="10"/>
      <color rgb="FF1B1B1B"/>
      <name val="Arial"/>
      <charset val="1"/>
    </font>
    <font>
      <sz val="10"/>
      <color rgb="FF1B1B1B"/>
      <name val="Arial"/>
      <charset val="1"/>
    </font>
    <font>
      <i/>
      <sz val="9"/>
      <color rgb="FF5D4037"/>
      <name val="Arial"/>
      <charset val="1"/>
    </font>
    <font>
      <i/>
      <sz val="9"/>
      <color rgb="FF1B1B1B"/>
      <name val="Arial"/>
      <charset val="1"/>
    </font>
    <font>
      <b/>
      <sz val="10"/>
      <color rgb="FFFFFFFF"/>
      <name val="Arial"/>
      <charset val="1"/>
    </font>
    <font>
      <b/>
      <sz val="9"/>
      <color rgb="FF1B1B1B"/>
      <name val="Arial"/>
      <charset val="1"/>
    </font>
    <font>
      <sz val="9"/>
      <color rgb="FF1B1B1B"/>
      <name val="Arial"/>
      <charset val="1"/>
    </font>
    <font>
      <sz val="9"/>
      <color rgb="FF1565C0"/>
      <name val="Arial"/>
      <charset val="1"/>
    </font>
    <font>
      <b/>
      <sz val="11"/>
      <color rgb="FFFFFFFF"/>
      <name val="Arial"/>
      <charset val="1"/>
    </font>
    <font>
      <b/>
      <sz val="9"/>
      <color rgb="FFFFFFFF"/>
      <name val="Arial"/>
      <charset val="1"/>
    </font>
    <font>
      <i/>
      <sz val="8"/>
      <color rgb="FF1565C0"/>
      <name val="Arial"/>
      <charset val="1"/>
    </font>
    <font>
      <sz val="10"/>
      <name val="Arial"/>
      <charset val="1"/>
    </font>
    <font>
      <sz val="9"/>
      <color rgb="FF2E7D32"/>
      <name val="Arial"/>
      <charset val="1"/>
    </font>
    <font>
      <sz val="9"/>
      <name val="Arial"/>
      <charset val="1"/>
    </font>
    <font>
      <sz val="9"/>
      <color rgb="FFE65100"/>
      <name val="Arial"/>
      <charset val="1"/>
    </font>
    <font>
      <b/>
      <sz val="11"/>
      <color rgb="FF1A5632"/>
      <name val="Arial"/>
      <charset val="1"/>
    </font>
    <font>
      <i/>
      <sz val="9"/>
      <color rgb="FF757575"/>
      <name val="Arial"/>
      <charset val="1"/>
    </font>
  </fonts>
  <fills count="15">
    <fill>
      <patternFill patternType="none"/>
    </fill>
    <fill>
      <patternFill patternType="gray125"/>
    </fill>
    <fill>
      <patternFill patternType="solid">
        <fgColor rgb="FF1A5632"/>
        <bgColor rgb="FF37474F"/>
      </patternFill>
    </fill>
    <fill>
      <patternFill patternType="solid">
        <fgColor rgb="FF00695C"/>
        <bgColor rgb="FF008080"/>
      </patternFill>
    </fill>
    <fill>
      <patternFill patternType="solid">
        <fgColor rgb="FFE8F5E9"/>
        <bgColor rgb="FFF1F8E9"/>
      </patternFill>
    </fill>
    <fill>
      <patternFill patternType="solid">
        <fgColor rgb="FFFFFFFF"/>
        <bgColor rgb="FFF5F5F5"/>
      </patternFill>
    </fill>
    <fill>
      <patternFill patternType="solid">
        <fgColor rgb="FFFFF9C4"/>
        <bgColor rgb="FFFFF8E1"/>
      </patternFill>
    </fill>
    <fill>
      <patternFill patternType="solid">
        <fgColor rgb="FFE3F2FD"/>
        <bgColor rgb="FFE8F5E9"/>
      </patternFill>
    </fill>
    <fill>
      <patternFill patternType="solid">
        <fgColor rgb="FFFFF8E1"/>
        <bgColor rgb="FFF1F8E9"/>
      </patternFill>
    </fill>
    <fill>
      <patternFill patternType="solid">
        <fgColor rgb="FF37474F"/>
        <bgColor rgb="FF1A5632"/>
      </patternFill>
    </fill>
    <fill>
      <patternFill patternType="solid">
        <fgColor rgb="FF2E7D32"/>
        <bgColor rgb="FF008000"/>
      </patternFill>
    </fill>
    <fill>
      <patternFill patternType="solid">
        <fgColor rgb="FFBDBDBD"/>
        <bgColor rgb="FF99CCFF"/>
      </patternFill>
    </fill>
    <fill>
      <patternFill patternType="solid">
        <fgColor rgb="FFF5F5F5"/>
        <bgColor rgb="FFF1F8E9"/>
      </patternFill>
    </fill>
    <fill>
      <patternFill patternType="solid">
        <fgColor rgb="FFF1F8E9"/>
        <bgColor rgb="FFF5F5F5"/>
      </patternFill>
    </fill>
    <fill>
      <patternFill patternType="solid">
        <fgColor rgb="FFC8E6C9"/>
        <bgColor rgb="FFE8F5E9"/>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54">
    <xf numFmtId="0" fontId="0" fillId="0" borderId="0" xfId="0"/>
    <xf numFmtId="0" fontId="4" fillId="4" borderId="1" xfId="0" applyFont="1" applyFill="1" applyBorder="1" applyAlignment="1">
      <alignment vertical="center"/>
    </xf>
    <xf numFmtId="0" fontId="5" fillId="5" borderId="1" xfId="0" applyFont="1" applyFill="1" applyBorder="1" applyAlignment="1">
      <alignment vertical="center" wrapText="1"/>
    </xf>
    <xf numFmtId="0" fontId="0" fillId="0" borderId="1" xfId="0" applyBorder="1"/>
    <xf numFmtId="0" fontId="8" fillId="2" borderId="1" xfId="0" applyFont="1" applyFill="1" applyBorder="1" applyAlignment="1">
      <alignment horizontal="center" vertical="center" wrapText="1"/>
    </xf>
    <xf numFmtId="0" fontId="9" fillId="4" borderId="1" xfId="0" applyFont="1" applyFill="1" applyBorder="1" applyAlignment="1">
      <alignment vertical="center"/>
    </xf>
    <xf numFmtId="0" fontId="10" fillId="4" borderId="1" xfId="0" applyFont="1" applyFill="1" applyBorder="1" applyAlignment="1">
      <alignment vertical="center"/>
    </xf>
    <xf numFmtId="0" fontId="11" fillId="4" borderId="1" xfId="0" applyFont="1" applyFill="1" applyBorder="1" applyAlignment="1">
      <alignment vertical="center"/>
    </xf>
    <xf numFmtId="0" fontId="10" fillId="4" borderId="1" xfId="0" applyFont="1" applyFill="1" applyBorder="1" applyAlignment="1">
      <alignment vertical="center" wrapText="1"/>
    </xf>
    <xf numFmtId="0" fontId="9" fillId="7" borderId="1" xfId="0" applyFont="1" applyFill="1" applyBorder="1" applyAlignment="1">
      <alignment vertical="center"/>
    </xf>
    <xf numFmtId="0" fontId="10" fillId="7" borderId="1" xfId="0" applyFont="1" applyFill="1" applyBorder="1" applyAlignment="1">
      <alignment vertical="center"/>
    </xf>
    <xf numFmtId="0" fontId="11" fillId="7" borderId="1" xfId="0" applyFont="1" applyFill="1" applyBorder="1" applyAlignment="1">
      <alignment vertical="center"/>
    </xf>
    <xf numFmtId="0" fontId="10" fillId="7" borderId="1" xfId="0" applyFont="1" applyFill="1" applyBorder="1" applyAlignment="1">
      <alignment vertical="center" wrapText="1"/>
    </xf>
    <xf numFmtId="0" fontId="9" fillId="8" borderId="1" xfId="0" applyFont="1" applyFill="1" applyBorder="1" applyAlignment="1">
      <alignment vertical="center"/>
    </xf>
    <xf numFmtId="0" fontId="10" fillId="8" borderId="1" xfId="0" applyFont="1" applyFill="1" applyBorder="1" applyAlignment="1">
      <alignment vertical="center"/>
    </xf>
    <xf numFmtId="0" fontId="11" fillId="8" borderId="1" xfId="0" applyFont="1" applyFill="1" applyBorder="1" applyAlignment="1">
      <alignment vertical="center"/>
    </xf>
    <xf numFmtId="0" fontId="10" fillId="8" borderId="1" xfId="0" applyFont="1" applyFill="1" applyBorder="1" applyAlignment="1">
      <alignment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16" fillId="12" borderId="1" xfId="0" applyFont="1" applyFill="1" applyBorder="1" applyAlignment="1">
      <alignment horizontal="center" vertical="center"/>
    </xf>
    <xf numFmtId="0" fontId="15" fillId="13" borderId="1" xfId="0" applyFont="1" applyFill="1" applyBorder="1" applyAlignment="1">
      <alignment horizontal="center" vertical="center"/>
    </xf>
    <xf numFmtId="0" fontId="13" fillId="11" borderId="3"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7" fillId="12" borderId="1" xfId="0" applyFont="1" applyFill="1" applyBorder="1" applyAlignment="1">
      <alignment horizontal="center" vertical="center"/>
    </xf>
    <xf numFmtId="164" fontId="17" fillId="12" borderId="1" xfId="0" applyNumberFormat="1" applyFont="1" applyFill="1" applyBorder="1" applyAlignment="1">
      <alignment horizontal="center" vertical="center"/>
    </xf>
    <xf numFmtId="3" fontId="17" fillId="12" borderId="1" xfId="0" applyNumberFormat="1" applyFont="1" applyFill="1" applyBorder="1" applyAlignment="1">
      <alignment horizontal="center" vertical="center"/>
    </xf>
    <xf numFmtId="165" fontId="17" fillId="12" borderId="1" xfId="0" applyNumberFormat="1" applyFont="1" applyFill="1" applyBorder="1" applyAlignment="1">
      <alignment horizontal="center" vertical="center"/>
    </xf>
    <xf numFmtId="0" fontId="0" fillId="5" borderId="1" xfId="0" applyFill="1" applyBorder="1"/>
    <xf numFmtId="0" fontId="0" fillId="13" borderId="1" xfId="0" applyFill="1" applyBorder="1"/>
    <xf numFmtId="0" fontId="18" fillId="12" borderId="1" xfId="0" applyFont="1" applyFill="1" applyBorder="1" applyAlignment="1">
      <alignment horizontal="center" vertical="center"/>
    </xf>
    <xf numFmtId="0" fontId="5" fillId="13" borderId="1" xfId="0" applyFont="1" applyFill="1" applyBorder="1" applyAlignment="1">
      <alignment vertical="center"/>
    </xf>
    <xf numFmtId="0" fontId="19" fillId="14" borderId="1" xfId="0" applyFont="1" applyFill="1" applyBorder="1" applyAlignment="1">
      <alignment horizontal="center" vertical="center"/>
    </xf>
    <xf numFmtId="0" fontId="5" fillId="5" borderId="1" xfId="0" applyFont="1" applyFill="1" applyBorder="1" applyAlignment="1">
      <alignment vertical="center"/>
    </xf>
    <xf numFmtId="4" fontId="19" fillId="14" borderId="1" xfId="0" applyNumberFormat="1" applyFont="1" applyFill="1" applyBorder="1" applyAlignment="1">
      <alignment horizontal="center" vertical="center"/>
    </xf>
    <xf numFmtId="0" fontId="2" fillId="2" borderId="0" xfId="0" applyFont="1" applyFill="1" applyAlignment="1">
      <alignment horizontal="center" vertical="center"/>
    </xf>
    <xf numFmtId="0" fontId="7" fillId="4" borderId="0" xfId="0" applyFont="1" applyFill="1" applyAlignment="1">
      <alignment horizontal="lef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6" fillId="6" borderId="1" xfId="0" applyFont="1" applyFill="1" applyBorder="1" applyAlignment="1">
      <alignment horizontal="left" vertical="center" wrapText="1"/>
    </xf>
    <xf numFmtId="0" fontId="12" fillId="2" borderId="0" xfId="0" applyFont="1" applyFill="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7" fillId="4" borderId="0" xfId="0" applyFont="1" applyFill="1" applyAlignment="1">
      <alignment horizontal="left" vertical="center"/>
    </xf>
    <xf numFmtId="0" fontId="8" fillId="10" borderId="1" xfId="0" applyFont="1" applyFill="1" applyBorder="1" applyAlignment="1">
      <alignment horizontal="left" vertical="center"/>
    </xf>
    <xf numFmtId="0" fontId="20" fillId="13" borderId="1" xfId="0" applyFont="1" applyFill="1" applyBorder="1" applyAlignment="1">
      <alignment vertical="center"/>
    </xf>
    <xf numFmtId="0" fontId="20" fillId="5" borderId="1" xfId="0" applyFont="1" applyFill="1" applyBorder="1" applyAlignment="1">
      <alignment vertical="center"/>
    </xf>
    <xf numFmtId="0" fontId="8"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95C"/>
      <rgbColor rgb="FFBDBDBD"/>
      <rgbColor rgb="FF757575"/>
      <rgbColor rgb="FF9999FF"/>
      <rgbColor rgb="FF5D4037"/>
      <rgbColor rgb="FFFFF9C4"/>
      <rgbColor rgb="FFE3F2FD"/>
      <rgbColor rgb="FF660066"/>
      <rgbColor rgb="FFFF8080"/>
      <rgbColor rgb="FF1565C0"/>
      <rgbColor rgb="FFF5F5F5"/>
      <rgbColor rgb="FF000080"/>
      <rgbColor rgb="FFFF00FF"/>
      <rgbColor rgb="FFFFFF00"/>
      <rgbColor rgb="FF00FFFF"/>
      <rgbColor rgb="FF800080"/>
      <rgbColor rgb="FF800000"/>
      <rgbColor rgb="FF008080"/>
      <rgbColor rgb="FF0000FF"/>
      <rgbColor rgb="FF00CCFF"/>
      <rgbColor rgb="FFE8F5E9"/>
      <rgbColor rgb="FFC8E6C9"/>
      <rgbColor rgb="FFFFF8E1"/>
      <rgbColor rgb="FF99CCFF"/>
      <rgbColor rgb="FFFF99CC"/>
      <rgbColor rgb="FFCC99FF"/>
      <rgbColor rgb="FFF1F8E9"/>
      <rgbColor rgb="FF3366FF"/>
      <rgbColor rgb="FF33CCCC"/>
      <rgbColor rgb="FF99CC00"/>
      <rgbColor rgb="FFFFCC00"/>
      <rgbColor rgb="FFFF9900"/>
      <rgbColor rgb="FFE65100"/>
      <rgbColor rgb="FF666699"/>
      <rgbColor rgb="FF969696"/>
      <rgbColor rgb="FF003366"/>
      <rgbColor rgb="FF2E7D32"/>
      <rgbColor rgb="FF1A5632"/>
      <rgbColor rgb="FF1B1B1B"/>
      <rgbColor rgb="FF993300"/>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bslimpactanalytics@gmail.com" id="{D25A1C65-7368-413F-B35D-DD72518A4263}" userId="S::urn:spo:guest#bslimpactanalytics@gmail.com::" providerId="AD"/>
  <person displayName="Brenda Bijen" id="{E1B59795-3437-4BAA-9611-E5295B6B0B1A}" userId="S::brenda@thinkdataservices.com::47480d5a-e70d-4345-beb9-68edb3d6a538"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6" dT="2026-05-24T16:10:03.43" personId="{D25A1C65-7368-413F-B35D-DD72518A4263}" id="{F4FEB095-DFCB-4880-BDB5-18B844663964}">
    <text>To check: I believe there is also a question (in most recent inspection) which asks the realized harvest of previous year. Maybe use that one?</text>
  </threadedComment>
  <threadedComment ref="I36" dT="2026-06-08T16:19:40.48" personId="{E1B59795-3437-4BAA-9611-E5295B6B0B1A}" id="{EB8B1FC9-9467-49B1-84DC-ACB67967F1F6}" parentId="{F4FEB095-DFCB-4880-BDB5-18B844663964}">
    <text>Yes this data comes from the internal inspection form</text>
  </threadedComment>
  <threadedComment ref="I37" dT="2026-05-24T16:11:04.91" personId="{D25A1C65-7368-413F-B35D-DD72518A4263}" id="{E40FC166-1038-431C-82BB-CB8FC70451D2}">
    <text>Or do 26 and 37 also both come from the most recent inspection form?</text>
  </threadedComment>
  <threadedComment ref="I37" dT="2026-06-08T16:17:11.96" personId="{E1B59795-3437-4BAA-9611-E5295B6B0B1A}" id="{05CF53FB-F212-47FA-B6B2-07006231E612}" parentId="{E40FC166-1038-431C-82BB-CB8FC70451D2}">
    <text xml:space="preserve">These fields are in the current GMR report of RA. If you want us to make changes then let me know. </text>
  </threadedComment>
  <threadedComment ref="I39" dT="2026-05-24T16:12:16.34" personId="{D25A1C65-7368-413F-B35D-DD72518A4263}" id="{3AA46E58-0D88-4A81-AC33-29678171C688}">
    <text>And non single-plot farms? This is not the same as the plot id (i.e. unique per plot)?</text>
  </threadedComment>
  <threadedComment ref="I39" dT="2026-06-08T16:20:00.25" personId="{E1B59795-3437-4BAA-9611-E5295B6B0B1A}" id="{E9BB4999-D68C-4051-9CC8-43401459764A}" parentId="{3AA46E58-0D88-4A81-AC33-29678171C688}">
    <text>Each plot has a unique ID in the system</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9"/>
  <sheetViews>
    <sheetView showGridLines="0" topLeftCell="A15" zoomScaleNormal="100" workbookViewId="0">
      <selection activeCell="B28" sqref="B28:C30"/>
    </sheetView>
  </sheetViews>
  <sheetFormatPr defaultColWidth="8.7109375" defaultRowHeight="14.25"/>
  <cols>
    <col min="1" max="1" width="5" customWidth="1"/>
    <col min="2" max="2" width="55" customWidth="1"/>
    <col min="3" max="3" width="30" customWidth="1"/>
  </cols>
  <sheetData>
    <row r="1" spans="2:3" ht="18" customHeight="1"/>
    <row r="2" spans="2:3" ht="30" customHeight="1">
      <c r="B2" s="39" t="s">
        <v>0</v>
      </c>
      <c r="C2" s="39"/>
    </row>
    <row r="3" spans="2:3" ht="18" customHeight="1">
      <c r="B3" s="39"/>
      <c r="C3" s="39"/>
    </row>
    <row r="4" spans="2:3" ht="25.5" customHeight="1">
      <c r="B4" s="40" t="s">
        <v>1</v>
      </c>
      <c r="C4" s="40"/>
    </row>
    <row r="5" spans="2:3" ht="21.75" customHeight="1">
      <c r="B5" s="41" t="s">
        <v>2</v>
      </c>
      <c r="C5" s="41"/>
    </row>
    <row r="6" spans="2:3" ht="18" customHeight="1"/>
    <row r="7" spans="2:3" ht="19.5" customHeight="1">
      <c r="B7" s="1" t="s">
        <v>3</v>
      </c>
      <c r="C7" s="2" t="s">
        <v>4</v>
      </c>
    </row>
    <row r="8" spans="2:3" ht="3.75" customHeight="1">
      <c r="B8" s="3"/>
      <c r="C8" s="3"/>
    </row>
    <row r="9" spans="2:3" ht="19.5" customHeight="1">
      <c r="B9" s="1" t="s">
        <v>5</v>
      </c>
      <c r="C9" s="2" t="s">
        <v>6</v>
      </c>
    </row>
    <row r="10" spans="2:3" ht="3.75" customHeight="1">
      <c r="B10" s="3"/>
      <c r="C10" s="3"/>
    </row>
    <row r="11" spans="2:3" ht="19.5" customHeight="1">
      <c r="B11" s="1" t="s">
        <v>7</v>
      </c>
      <c r="C11" s="2" t="s">
        <v>8</v>
      </c>
    </row>
    <row r="12" spans="2:3" ht="3.75" customHeight="1">
      <c r="B12" s="3"/>
      <c r="C12" s="3"/>
    </row>
    <row r="13" spans="2:3" ht="19.5" customHeight="1">
      <c r="B13" s="1" t="s">
        <v>9</v>
      </c>
      <c r="C13" s="2" t="s">
        <v>10</v>
      </c>
    </row>
    <row r="14" spans="2:3" ht="3.75" customHeight="1">
      <c r="B14" s="3"/>
      <c r="C14" s="3"/>
    </row>
    <row r="15" spans="2:3" ht="19.5" customHeight="1">
      <c r="B15" s="1" t="s">
        <v>11</v>
      </c>
      <c r="C15" s="2" t="s">
        <v>12</v>
      </c>
    </row>
    <row r="16" spans="2:3" ht="3.75" customHeight="1">
      <c r="B16" s="3"/>
      <c r="C16" s="3"/>
    </row>
    <row r="17" spans="2:3" ht="36" customHeight="1">
      <c r="B17" s="1" t="s">
        <v>13</v>
      </c>
      <c r="C17" s="2" t="s">
        <v>14</v>
      </c>
    </row>
    <row r="18" spans="2:3" ht="3.75" customHeight="1">
      <c r="B18" s="3"/>
      <c r="C18" s="3"/>
    </row>
    <row r="19" spans="2:3" ht="19.5" customHeight="1">
      <c r="B19" s="1" t="s">
        <v>15</v>
      </c>
      <c r="C19" s="2"/>
    </row>
    <row r="20" spans="2:3" ht="3.75" customHeight="1">
      <c r="B20" s="3"/>
      <c r="C20" s="3"/>
    </row>
    <row r="21" spans="2:3" ht="19.5" customHeight="1">
      <c r="B21" s="1" t="s">
        <v>16</v>
      </c>
      <c r="C21" s="2"/>
    </row>
    <row r="22" spans="2:3" ht="3.75" customHeight="1">
      <c r="B22" s="3"/>
      <c r="C22" s="3"/>
    </row>
    <row r="23" spans="2:3" ht="19.5" customHeight="1">
      <c r="B23" s="1" t="s">
        <v>17</v>
      </c>
      <c r="C23" s="2"/>
    </row>
    <row r="24" spans="2:3" ht="3.75" customHeight="1">
      <c r="B24" s="3"/>
      <c r="C24" s="3"/>
    </row>
    <row r="25" spans="2:3" ht="19.5" customHeight="1">
      <c r="B25" s="1" t="s">
        <v>18</v>
      </c>
      <c r="C25" s="2"/>
    </row>
    <row r="26" spans="2:3" ht="3.75" customHeight="1">
      <c r="B26" s="3"/>
      <c r="C26" s="3"/>
    </row>
    <row r="27" spans="2:3" ht="18" customHeight="1">
      <c r="B27" s="3"/>
      <c r="C27" s="3"/>
    </row>
    <row r="28" spans="2:3" ht="54.75" customHeight="1">
      <c r="B28" s="42" t="s">
        <v>19</v>
      </c>
      <c r="C28" s="42"/>
    </row>
    <row r="29" spans="2:3" ht="18" customHeight="1">
      <c r="B29" s="42"/>
      <c r="C29" s="42"/>
    </row>
    <row r="30" spans="2:3" ht="18" customHeight="1">
      <c r="B30" s="42"/>
      <c r="C30" s="42"/>
    </row>
    <row r="31" spans="2:3" ht="18" customHeight="1"/>
    <row r="32" spans="2:3"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sheetData>
  <mergeCells count="4">
    <mergeCell ref="B2:C3"/>
    <mergeCell ref="B4:C4"/>
    <mergeCell ref="B5:C5"/>
    <mergeCell ref="B28:C3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42"/>
  <sheetViews>
    <sheetView showGridLines="0" tabSelected="1" topLeftCell="F25" zoomScaleNormal="100" workbookViewId="0">
      <selection activeCell="I39" sqref="I39"/>
    </sheetView>
  </sheetViews>
  <sheetFormatPr defaultColWidth="8.7109375" defaultRowHeight="14.25"/>
  <cols>
    <col min="1" max="1" width="4" customWidth="1"/>
    <col min="2" max="2" width="11.28515625" customWidth="1"/>
    <col min="3" max="4" width="28" customWidth="1"/>
    <col min="5" max="5" width="32" customWidth="1"/>
    <col min="6" max="6" width="22" customWidth="1"/>
    <col min="7" max="7" width="18" customWidth="1"/>
    <col min="8" max="8" width="36" customWidth="1"/>
    <col min="9" max="9" width="84.7109375" customWidth="1"/>
  </cols>
  <sheetData>
    <row r="1" spans="2:9" ht="27.75" customHeight="1">
      <c r="B1" s="37" t="s">
        <v>20</v>
      </c>
      <c r="C1" s="37"/>
      <c r="D1" s="37"/>
      <c r="E1" s="37"/>
      <c r="F1" s="37"/>
      <c r="G1" s="37"/>
      <c r="H1" s="37"/>
    </row>
    <row r="2" spans="2:9" ht="31.5" customHeight="1">
      <c r="B2" s="38" t="s">
        <v>21</v>
      </c>
      <c r="C2" s="38"/>
      <c r="D2" s="38"/>
      <c r="E2" s="38"/>
      <c r="F2" s="38"/>
      <c r="G2" s="38"/>
      <c r="H2" s="38"/>
    </row>
    <row r="4" spans="2:9" ht="21.75" customHeight="1">
      <c r="B4" s="4" t="s">
        <v>22</v>
      </c>
      <c r="C4" s="4" t="s">
        <v>23</v>
      </c>
      <c r="D4" s="4" t="s">
        <v>24</v>
      </c>
      <c r="E4" s="4" t="s">
        <v>25</v>
      </c>
      <c r="F4" s="4" t="s">
        <v>26</v>
      </c>
      <c r="G4" s="4" t="s">
        <v>27</v>
      </c>
      <c r="H4" s="4" t="s">
        <v>28</v>
      </c>
      <c r="I4" s="4" t="s">
        <v>29</v>
      </c>
    </row>
    <row r="5" spans="2:9" ht="18" customHeight="1">
      <c r="B5" s="5" t="s">
        <v>30</v>
      </c>
      <c r="C5" s="6" t="s">
        <v>31</v>
      </c>
      <c r="D5" s="6" t="s">
        <v>32</v>
      </c>
      <c r="E5" s="7" t="s">
        <v>33</v>
      </c>
      <c r="F5" s="7" t="s">
        <v>34</v>
      </c>
      <c r="G5" s="6" t="s">
        <v>35</v>
      </c>
      <c r="H5" s="6" t="s">
        <v>36</v>
      </c>
      <c r="I5" s="8" t="s">
        <v>37</v>
      </c>
    </row>
    <row r="6" spans="2:9" ht="18" customHeight="1">
      <c r="B6" s="5" t="s">
        <v>30</v>
      </c>
      <c r="C6" s="6" t="s">
        <v>38</v>
      </c>
      <c r="D6" s="6" t="s">
        <v>39</v>
      </c>
      <c r="E6" s="7" t="s">
        <v>40</v>
      </c>
      <c r="F6" s="7" t="s">
        <v>41</v>
      </c>
      <c r="G6" s="6" t="s">
        <v>35</v>
      </c>
      <c r="H6" s="6" t="s">
        <v>42</v>
      </c>
      <c r="I6" s="8" t="s">
        <v>43</v>
      </c>
    </row>
    <row r="7" spans="2:9" ht="18" customHeight="1">
      <c r="B7" s="5" t="s">
        <v>30</v>
      </c>
      <c r="C7" s="6" t="s">
        <v>44</v>
      </c>
      <c r="D7" s="6" t="s">
        <v>45</v>
      </c>
      <c r="E7" s="7" t="s">
        <v>46</v>
      </c>
      <c r="F7" s="7" t="s">
        <v>47</v>
      </c>
      <c r="G7" s="6" t="s">
        <v>35</v>
      </c>
      <c r="H7" s="6" t="s">
        <v>36</v>
      </c>
      <c r="I7" s="8" t="s">
        <v>48</v>
      </c>
    </row>
    <row r="8" spans="2:9" ht="18" customHeight="1">
      <c r="B8" s="5" t="s">
        <v>30</v>
      </c>
      <c r="C8" s="6" t="s">
        <v>49</v>
      </c>
      <c r="D8" s="6" t="s">
        <v>50</v>
      </c>
      <c r="E8" s="7" t="s">
        <v>33</v>
      </c>
      <c r="F8" s="7" t="s">
        <v>51</v>
      </c>
      <c r="G8" s="6" t="s">
        <v>35</v>
      </c>
      <c r="H8" s="6" t="s">
        <v>36</v>
      </c>
      <c r="I8" s="8" t="s">
        <v>52</v>
      </c>
    </row>
    <row r="9" spans="2:9" ht="18" customHeight="1">
      <c r="B9" s="5" t="s">
        <v>30</v>
      </c>
      <c r="C9" s="6" t="s">
        <v>53</v>
      </c>
      <c r="D9" s="6" t="s">
        <v>54</v>
      </c>
      <c r="E9" s="7" t="s">
        <v>55</v>
      </c>
      <c r="F9" s="7" t="s">
        <v>56</v>
      </c>
      <c r="G9" s="6" t="s">
        <v>35</v>
      </c>
      <c r="H9" s="6" t="s">
        <v>57</v>
      </c>
      <c r="I9" s="8" t="s">
        <v>58</v>
      </c>
    </row>
    <row r="10" spans="2:9" ht="18" customHeight="1">
      <c r="B10" s="5" t="s">
        <v>30</v>
      </c>
      <c r="C10" s="6" t="s">
        <v>59</v>
      </c>
      <c r="D10" s="6" t="s">
        <v>60</v>
      </c>
      <c r="E10" s="7" t="s">
        <v>33</v>
      </c>
      <c r="F10" s="7" t="s">
        <v>61</v>
      </c>
      <c r="G10" s="6" t="s">
        <v>62</v>
      </c>
      <c r="H10" s="6" t="s">
        <v>36</v>
      </c>
      <c r="I10" s="8" t="s">
        <v>63</v>
      </c>
    </row>
    <row r="11" spans="2:9" ht="18" customHeight="1">
      <c r="B11" s="5" t="s">
        <v>30</v>
      </c>
      <c r="C11" s="6" t="s">
        <v>64</v>
      </c>
      <c r="D11" s="6" t="s">
        <v>65</v>
      </c>
      <c r="E11" s="7" t="s">
        <v>33</v>
      </c>
      <c r="F11" s="7" t="s">
        <v>66</v>
      </c>
      <c r="G11" s="6" t="s">
        <v>67</v>
      </c>
      <c r="H11" s="6" t="s">
        <v>36</v>
      </c>
      <c r="I11" s="8" t="s">
        <v>68</v>
      </c>
    </row>
    <row r="12" spans="2:9" ht="18" customHeight="1">
      <c r="B12" s="5" t="s">
        <v>30</v>
      </c>
      <c r="C12" s="6" t="s">
        <v>69</v>
      </c>
      <c r="D12" s="6" t="s">
        <v>70</v>
      </c>
      <c r="E12" s="7" t="s">
        <v>33</v>
      </c>
      <c r="F12" s="7" t="s">
        <v>71</v>
      </c>
      <c r="G12" s="6" t="s">
        <v>72</v>
      </c>
      <c r="H12" s="6" t="s">
        <v>36</v>
      </c>
      <c r="I12" s="8" t="s">
        <v>73</v>
      </c>
    </row>
    <row r="13" spans="2:9" ht="18" customHeight="1">
      <c r="B13" s="5" t="s">
        <v>30</v>
      </c>
      <c r="C13" s="6" t="s">
        <v>74</v>
      </c>
      <c r="D13" s="6" t="s">
        <v>75</v>
      </c>
      <c r="E13" s="7" t="s">
        <v>40</v>
      </c>
      <c r="F13" s="7" t="s">
        <v>76</v>
      </c>
      <c r="G13" s="6" t="s">
        <v>72</v>
      </c>
      <c r="H13" s="6" t="s">
        <v>36</v>
      </c>
      <c r="I13" s="8" t="s">
        <v>77</v>
      </c>
    </row>
    <row r="14" spans="2:9" ht="18" customHeight="1">
      <c r="B14" s="5" t="s">
        <v>30</v>
      </c>
      <c r="C14" s="6" t="s">
        <v>78</v>
      </c>
      <c r="D14" s="6" t="s">
        <v>79</v>
      </c>
      <c r="E14" s="7" t="s">
        <v>33</v>
      </c>
      <c r="F14" s="7" t="s">
        <v>80</v>
      </c>
      <c r="G14" s="6" t="s">
        <v>35</v>
      </c>
      <c r="H14" s="6" t="s">
        <v>36</v>
      </c>
      <c r="I14" s="8" t="s">
        <v>81</v>
      </c>
    </row>
    <row r="15" spans="2:9" ht="18" customHeight="1">
      <c r="B15" s="5" t="s">
        <v>30</v>
      </c>
      <c r="C15" s="6" t="s">
        <v>82</v>
      </c>
      <c r="D15" s="6" t="s">
        <v>83</v>
      </c>
      <c r="E15" s="7" t="s">
        <v>33</v>
      </c>
      <c r="F15" s="7" t="s">
        <v>84</v>
      </c>
      <c r="G15" s="6" t="s">
        <v>35</v>
      </c>
      <c r="H15" s="6" t="s">
        <v>36</v>
      </c>
      <c r="I15" s="8"/>
    </row>
    <row r="16" spans="2:9" ht="18" customHeight="1">
      <c r="B16" s="5" t="s">
        <v>30</v>
      </c>
      <c r="C16" s="6" t="s">
        <v>85</v>
      </c>
      <c r="D16" s="6" t="s">
        <v>86</v>
      </c>
      <c r="E16" s="7" t="s">
        <v>33</v>
      </c>
      <c r="F16" s="7" t="s">
        <v>87</v>
      </c>
      <c r="G16" s="6" t="s">
        <v>35</v>
      </c>
      <c r="H16" s="6" t="s">
        <v>42</v>
      </c>
      <c r="I16" s="8"/>
    </row>
    <row r="17" spans="2:9" ht="18" customHeight="1">
      <c r="B17" s="5" t="s">
        <v>30</v>
      </c>
      <c r="C17" s="6" t="s">
        <v>88</v>
      </c>
      <c r="D17" s="6" t="s">
        <v>89</v>
      </c>
      <c r="E17" s="7" t="s">
        <v>33</v>
      </c>
      <c r="F17" s="7" t="s">
        <v>90</v>
      </c>
      <c r="G17" s="6" t="s">
        <v>35</v>
      </c>
      <c r="H17" s="6" t="s">
        <v>42</v>
      </c>
      <c r="I17" s="8" t="s">
        <v>91</v>
      </c>
    </row>
    <row r="18" spans="2:9" ht="18" customHeight="1">
      <c r="B18" s="5" t="s">
        <v>30</v>
      </c>
      <c r="C18" s="6" t="s">
        <v>92</v>
      </c>
      <c r="D18" s="6" t="s">
        <v>93</v>
      </c>
      <c r="E18" s="7" t="s">
        <v>33</v>
      </c>
      <c r="F18" s="7" t="s">
        <v>94</v>
      </c>
      <c r="G18" s="6" t="s">
        <v>67</v>
      </c>
      <c r="H18" s="6" t="s">
        <v>36</v>
      </c>
      <c r="I18" s="8" t="s">
        <v>95</v>
      </c>
    </row>
    <row r="19" spans="2:9" ht="18" customHeight="1">
      <c r="B19" s="5" t="s">
        <v>30</v>
      </c>
      <c r="C19" s="6" t="s">
        <v>96</v>
      </c>
      <c r="D19" s="6" t="s">
        <v>97</v>
      </c>
      <c r="E19" s="7" t="s">
        <v>33</v>
      </c>
      <c r="F19" s="7" t="s">
        <v>98</v>
      </c>
      <c r="G19" s="6" t="s">
        <v>72</v>
      </c>
      <c r="H19" s="6" t="s">
        <v>36</v>
      </c>
      <c r="I19" s="8" t="s">
        <v>99</v>
      </c>
    </row>
    <row r="20" spans="2:9" ht="18" customHeight="1">
      <c r="B20" s="5" t="s">
        <v>30</v>
      </c>
      <c r="C20" s="6" t="s">
        <v>100</v>
      </c>
      <c r="D20" s="6" t="s">
        <v>101</v>
      </c>
      <c r="E20" s="7" t="s">
        <v>102</v>
      </c>
      <c r="F20" s="7" t="s">
        <v>103</v>
      </c>
      <c r="G20" s="6" t="s">
        <v>35</v>
      </c>
      <c r="H20" s="6" t="s">
        <v>104</v>
      </c>
      <c r="I20" s="8" t="s">
        <v>105</v>
      </c>
    </row>
    <row r="21" spans="2:9" ht="18" customHeight="1">
      <c r="B21" s="5" t="s">
        <v>30</v>
      </c>
      <c r="C21" s="6" t="s">
        <v>106</v>
      </c>
      <c r="D21" s="6" t="s">
        <v>107</v>
      </c>
      <c r="E21" s="7" t="s">
        <v>102</v>
      </c>
      <c r="F21" s="7" t="s">
        <v>108</v>
      </c>
      <c r="G21" s="6" t="s">
        <v>35</v>
      </c>
      <c r="H21" s="6" t="s">
        <v>104</v>
      </c>
      <c r="I21" s="8"/>
    </row>
    <row r="22" spans="2:9" ht="18" customHeight="1">
      <c r="B22" s="5" t="s">
        <v>30</v>
      </c>
      <c r="C22" s="6" t="s">
        <v>109</v>
      </c>
      <c r="D22" s="6" t="s">
        <v>110</v>
      </c>
      <c r="E22" s="7" t="s">
        <v>102</v>
      </c>
      <c r="F22" s="7" t="s">
        <v>111</v>
      </c>
      <c r="G22" s="6" t="s">
        <v>35</v>
      </c>
      <c r="H22" s="6" t="s">
        <v>104</v>
      </c>
      <c r="I22" s="8"/>
    </row>
    <row r="23" spans="2:9" ht="18" customHeight="1">
      <c r="B23" s="5" t="s">
        <v>30</v>
      </c>
      <c r="C23" s="6" t="s">
        <v>112</v>
      </c>
      <c r="D23" s="6" t="s">
        <v>113</v>
      </c>
      <c r="E23" s="7" t="s">
        <v>102</v>
      </c>
      <c r="F23" s="7" t="s">
        <v>114</v>
      </c>
      <c r="G23" s="6" t="s">
        <v>35</v>
      </c>
      <c r="H23" s="6" t="s">
        <v>104</v>
      </c>
      <c r="I23" s="8" t="s">
        <v>115</v>
      </c>
    </row>
    <row r="24" spans="2:9" ht="18" customHeight="1">
      <c r="B24" s="5" t="s">
        <v>30</v>
      </c>
      <c r="C24" s="6" t="s">
        <v>116</v>
      </c>
      <c r="D24" s="6" t="s">
        <v>117</v>
      </c>
      <c r="E24" s="7" t="s">
        <v>102</v>
      </c>
      <c r="F24" s="7" t="s">
        <v>118</v>
      </c>
      <c r="G24" s="6" t="s">
        <v>67</v>
      </c>
      <c r="H24" s="6" t="s">
        <v>104</v>
      </c>
      <c r="I24" s="8"/>
    </row>
    <row r="25" spans="2:9" ht="18" customHeight="1">
      <c r="B25" s="5" t="s">
        <v>30</v>
      </c>
      <c r="C25" s="6" t="s">
        <v>119</v>
      </c>
      <c r="D25" s="6" t="s">
        <v>120</v>
      </c>
      <c r="E25" s="7" t="s">
        <v>121</v>
      </c>
      <c r="F25" s="7" t="s">
        <v>122</v>
      </c>
      <c r="G25" s="6" t="s">
        <v>72</v>
      </c>
      <c r="H25" s="6" t="s">
        <v>36</v>
      </c>
      <c r="I25" s="8" t="s">
        <v>123</v>
      </c>
    </row>
    <row r="26" spans="2:9" ht="18" customHeight="1">
      <c r="B26" s="5" t="s">
        <v>30</v>
      </c>
      <c r="C26" s="6" t="s">
        <v>124</v>
      </c>
      <c r="D26" s="6" t="s">
        <v>125</v>
      </c>
      <c r="E26" s="7" t="s">
        <v>121</v>
      </c>
      <c r="F26" s="7" t="s">
        <v>126</v>
      </c>
      <c r="G26" s="6" t="s">
        <v>72</v>
      </c>
      <c r="H26" s="6" t="s">
        <v>36</v>
      </c>
      <c r="I26" s="8" t="s">
        <v>123</v>
      </c>
    </row>
    <row r="27" spans="2:9" ht="18" customHeight="1">
      <c r="B27" s="5" t="s">
        <v>30</v>
      </c>
      <c r="C27" s="6" t="s">
        <v>127</v>
      </c>
      <c r="D27" s="6" t="s">
        <v>128</v>
      </c>
      <c r="E27" s="7" t="s">
        <v>121</v>
      </c>
      <c r="F27" s="7" t="s">
        <v>129</v>
      </c>
      <c r="G27" s="6" t="s">
        <v>35</v>
      </c>
      <c r="H27" s="6" t="s">
        <v>36</v>
      </c>
      <c r="I27" s="8" t="s">
        <v>130</v>
      </c>
    </row>
    <row r="28" spans="2:9" ht="18" customHeight="1">
      <c r="B28" s="5" t="s">
        <v>30</v>
      </c>
      <c r="C28" s="6" t="s">
        <v>131</v>
      </c>
      <c r="D28" s="6" t="s">
        <v>132</v>
      </c>
      <c r="E28" s="7" t="s">
        <v>121</v>
      </c>
      <c r="F28" s="7" t="s">
        <v>133</v>
      </c>
      <c r="G28" s="6" t="s">
        <v>72</v>
      </c>
      <c r="H28" s="6" t="s">
        <v>36</v>
      </c>
      <c r="I28" s="8" t="s">
        <v>134</v>
      </c>
    </row>
    <row r="29" spans="2:9" ht="18" customHeight="1">
      <c r="B29" s="5" t="s">
        <v>30</v>
      </c>
      <c r="C29" s="6" t="s">
        <v>135</v>
      </c>
      <c r="D29" s="6" t="s">
        <v>136</v>
      </c>
      <c r="E29" s="7" t="s">
        <v>121</v>
      </c>
      <c r="F29" s="7" t="s">
        <v>137</v>
      </c>
      <c r="G29" s="6" t="s">
        <v>72</v>
      </c>
      <c r="H29" s="6" t="s">
        <v>36</v>
      </c>
      <c r="I29" s="8" t="s">
        <v>138</v>
      </c>
    </row>
    <row r="30" spans="2:9" ht="18" customHeight="1">
      <c r="B30" s="5" t="s">
        <v>30</v>
      </c>
      <c r="C30" s="6" t="s">
        <v>139</v>
      </c>
      <c r="D30" s="6" t="s">
        <v>140</v>
      </c>
      <c r="E30" s="7" t="s">
        <v>121</v>
      </c>
      <c r="F30" s="7" t="s">
        <v>141</v>
      </c>
      <c r="G30" s="6" t="s">
        <v>72</v>
      </c>
      <c r="H30" s="6" t="s">
        <v>36</v>
      </c>
      <c r="I30" s="8" t="s">
        <v>142</v>
      </c>
    </row>
    <row r="31" spans="2:9" ht="18" customHeight="1">
      <c r="B31" s="9" t="s">
        <v>143</v>
      </c>
      <c r="C31" s="10" t="s">
        <v>31</v>
      </c>
      <c r="D31" s="10" t="s">
        <v>32</v>
      </c>
      <c r="E31" s="11" t="s">
        <v>33</v>
      </c>
      <c r="F31" s="11" t="s">
        <v>34</v>
      </c>
      <c r="G31" s="10" t="s">
        <v>35</v>
      </c>
      <c r="H31" s="10" t="s">
        <v>36</v>
      </c>
      <c r="I31" s="12" t="s">
        <v>144</v>
      </c>
    </row>
    <row r="32" spans="2:9" ht="18" customHeight="1">
      <c r="B32" s="9" t="s">
        <v>143</v>
      </c>
      <c r="C32" s="10" t="s">
        <v>38</v>
      </c>
      <c r="D32" s="10" t="s">
        <v>145</v>
      </c>
      <c r="E32" s="11" t="s">
        <v>40</v>
      </c>
      <c r="F32" s="11" t="s">
        <v>146</v>
      </c>
      <c r="G32" s="10" t="s">
        <v>35</v>
      </c>
      <c r="H32" s="10" t="s">
        <v>36</v>
      </c>
      <c r="I32" s="12" t="s">
        <v>147</v>
      </c>
    </row>
    <row r="33" spans="2:9" ht="18" customHeight="1">
      <c r="B33" s="9" t="s">
        <v>143</v>
      </c>
      <c r="C33" s="10" t="s">
        <v>44</v>
      </c>
      <c r="D33" s="10" t="s">
        <v>148</v>
      </c>
      <c r="E33" s="11" t="s">
        <v>33</v>
      </c>
      <c r="F33" s="11" t="s">
        <v>149</v>
      </c>
      <c r="G33" s="10" t="s">
        <v>67</v>
      </c>
      <c r="H33" s="10" t="s">
        <v>42</v>
      </c>
      <c r="I33" s="12" t="s">
        <v>150</v>
      </c>
    </row>
    <row r="34" spans="2:9" ht="18" customHeight="1">
      <c r="B34" s="9" t="s">
        <v>143</v>
      </c>
      <c r="C34" s="10" t="s">
        <v>49</v>
      </c>
      <c r="D34" s="10" t="s">
        <v>151</v>
      </c>
      <c r="E34" s="11" t="s">
        <v>33</v>
      </c>
      <c r="F34" s="11" t="s">
        <v>61</v>
      </c>
      <c r="G34" s="10" t="s">
        <v>62</v>
      </c>
      <c r="H34" s="10" t="s">
        <v>36</v>
      </c>
      <c r="I34" s="12" t="s">
        <v>152</v>
      </c>
    </row>
    <row r="35" spans="2:9" ht="18" customHeight="1">
      <c r="B35" s="9" t="s">
        <v>143</v>
      </c>
      <c r="C35" s="10" t="s">
        <v>53</v>
      </c>
      <c r="D35" s="10" t="s">
        <v>153</v>
      </c>
      <c r="E35" s="11" t="s">
        <v>121</v>
      </c>
      <c r="F35" s="11" t="s">
        <v>154</v>
      </c>
      <c r="G35" s="10" t="s">
        <v>62</v>
      </c>
      <c r="H35" s="10" t="s">
        <v>36</v>
      </c>
      <c r="I35" s="12" t="s">
        <v>155</v>
      </c>
    </row>
    <row r="36" spans="2:9" ht="18" customHeight="1">
      <c r="B36" s="9" t="s">
        <v>143</v>
      </c>
      <c r="C36" s="10" t="s">
        <v>59</v>
      </c>
      <c r="D36" s="10" t="s">
        <v>156</v>
      </c>
      <c r="E36" s="11" t="s">
        <v>121</v>
      </c>
      <c r="F36" s="11" t="s">
        <v>157</v>
      </c>
      <c r="G36" s="10" t="s">
        <v>62</v>
      </c>
      <c r="H36" s="10" t="s">
        <v>36</v>
      </c>
      <c r="I36" s="12" t="s">
        <v>158</v>
      </c>
    </row>
    <row r="37" spans="2:9" ht="18" customHeight="1">
      <c r="B37" s="9" t="s">
        <v>143</v>
      </c>
      <c r="C37" s="10" t="s">
        <v>64</v>
      </c>
      <c r="D37" s="10" t="s">
        <v>159</v>
      </c>
      <c r="E37" s="11" t="s">
        <v>121</v>
      </c>
      <c r="F37" s="11" t="s">
        <v>160</v>
      </c>
      <c r="G37" s="10" t="s">
        <v>62</v>
      </c>
      <c r="H37" s="10" t="s">
        <v>36</v>
      </c>
      <c r="I37" s="12" t="s">
        <v>161</v>
      </c>
    </row>
    <row r="38" spans="2:9" ht="18" customHeight="1">
      <c r="B38" s="13" t="s">
        <v>162</v>
      </c>
      <c r="C38" s="14" t="s">
        <v>31</v>
      </c>
      <c r="D38" s="14" t="s">
        <v>32</v>
      </c>
      <c r="E38" s="15" t="s">
        <v>33</v>
      </c>
      <c r="F38" s="15" t="s">
        <v>34</v>
      </c>
      <c r="G38" s="14" t="s">
        <v>35</v>
      </c>
      <c r="H38" s="14" t="s">
        <v>36</v>
      </c>
      <c r="I38" s="16" t="s">
        <v>163</v>
      </c>
    </row>
    <row r="39" spans="2:9" ht="18" customHeight="1">
      <c r="B39" s="13" t="s">
        <v>162</v>
      </c>
      <c r="C39" s="14" t="s">
        <v>38</v>
      </c>
      <c r="D39" s="14" t="s">
        <v>164</v>
      </c>
      <c r="E39" s="15" t="s">
        <v>33</v>
      </c>
      <c r="F39" s="15" t="s">
        <v>34</v>
      </c>
      <c r="G39" s="14" t="s">
        <v>35</v>
      </c>
      <c r="H39" s="14" t="s">
        <v>36</v>
      </c>
      <c r="I39" s="16" t="s">
        <v>165</v>
      </c>
    </row>
    <row r="40" spans="2:9" ht="18" customHeight="1">
      <c r="B40" s="13" t="s">
        <v>162</v>
      </c>
      <c r="C40" s="14" t="s">
        <v>44</v>
      </c>
      <c r="D40" s="14" t="s">
        <v>166</v>
      </c>
      <c r="E40" s="15" t="s">
        <v>33</v>
      </c>
      <c r="F40" s="15" t="s">
        <v>61</v>
      </c>
      <c r="G40" s="14" t="s">
        <v>62</v>
      </c>
      <c r="H40" s="14" t="s">
        <v>36</v>
      </c>
      <c r="I40" s="16" t="s">
        <v>167</v>
      </c>
    </row>
    <row r="41" spans="2:9" ht="18" customHeight="1">
      <c r="B41" s="13" t="s">
        <v>162</v>
      </c>
      <c r="C41" s="14" t="s">
        <v>49</v>
      </c>
      <c r="D41" s="14" t="s">
        <v>168</v>
      </c>
      <c r="E41" s="15" t="s">
        <v>33</v>
      </c>
      <c r="F41" s="15" t="s">
        <v>169</v>
      </c>
      <c r="G41" s="14" t="s">
        <v>62</v>
      </c>
      <c r="H41" s="14" t="s">
        <v>36</v>
      </c>
      <c r="I41" s="16" t="s">
        <v>170</v>
      </c>
    </row>
    <row r="42" spans="2:9" ht="18" customHeight="1">
      <c r="B42" s="13" t="s">
        <v>162</v>
      </c>
      <c r="C42" s="14" t="s">
        <v>53</v>
      </c>
      <c r="D42" s="14" t="s">
        <v>171</v>
      </c>
      <c r="E42" s="15" t="s">
        <v>33</v>
      </c>
      <c r="F42" s="15" t="s">
        <v>172</v>
      </c>
      <c r="G42" s="14" t="s">
        <v>62</v>
      </c>
      <c r="H42" s="14" t="s">
        <v>36</v>
      </c>
      <c r="I42" s="16" t="s">
        <v>173</v>
      </c>
    </row>
  </sheetData>
  <mergeCells count="2">
    <mergeCell ref="B1:H1"/>
    <mergeCell ref="B2:H2"/>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4"/>
  <sheetViews>
    <sheetView showGridLines="0" zoomScaleNormal="100" workbookViewId="0">
      <pane ySplit="4" topLeftCell="A5" activePane="bottomLeft" state="frozen"/>
      <selection pane="bottomLeft" activeCell="A4" sqref="A4"/>
    </sheetView>
  </sheetViews>
  <sheetFormatPr defaultColWidth="8.7109375" defaultRowHeight="14.25"/>
  <cols>
    <col min="1" max="1" width="18" customWidth="1"/>
    <col min="2" max="2" width="14" customWidth="1"/>
    <col min="3" max="3" width="18" customWidth="1"/>
    <col min="4" max="5" width="16" customWidth="1"/>
    <col min="6" max="7" width="12" customWidth="1"/>
    <col min="8" max="9" width="10" customWidth="1"/>
    <col min="10" max="12" width="14" customWidth="1"/>
    <col min="13" max="13" width="16" customWidth="1"/>
    <col min="14" max="14" width="10" customWidth="1"/>
    <col min="15" max="15" width="12" customWidth="1"/>
    <col min="16" max="18" width="14" customWidth="1"/>
    <col min="19" max="19" width="16" customWidth="1"/>
    <col min="20" max="20" width="10" customWidth="1"/>
    <col min="21" max="21" width="11" customWidth="1"/>
    <col min="22" max="22" width="12" customWidth="1"/>
    <col min="23" max="23" width="16" customWidth="1"/>
    <col min="24" max="26" width="10" customWidth="1"/>
    <col min="27" max="28" width="14" customWidth="1"/>
  </cols>
  <sheetData>
    <row r="1" spans="1:28" ht="24" customHeight="1">
      <c r="A1" s="43" t="s">
        <v>174</v>
      </c>
      <c r="B1" s="43"/>
      <c r="C1" s="43"/>
      <c r="D1" s="43"/>
      <c r="E1" s="43"/>
      <c r="F1" s="43"/>
      <c r="G1" s="43"/>
      <c r="H1" s="43"/>
      <c r="I1" s="43"/>
      <c r="J1" s="43"/>
      <c r="K1" s="43"/>
      <c r="L1" s="43"/>
      <c r="M1" s="43"/>
      <c r="N1" s="43"/>
      <c r="O1" s="43"/>
      <c r="P1" s="43"/>
      <c r="Q1" s="43"/>
      <c r="R1" s="43"/>
      <c r="S1" s="43"/>
      <c r="T1" s="43"/>
      <c r="U1" s="43"/>
      <c r="V1" s="43"/>
      <c r="W1" s="43"/>
      <c r="X1" s="43"/>
      <c r="Y1" s="43"/>
      <c r="Z1" s="43"/>
      <c r="AA1" s="43"/>
      <c r="AB1" s="43"/>
    </row>
    <row r="2" spans="1:28" ht="21.75" customHeight="1">
      <c r="A2" s="44" t="s">
        <v>175</v>
      </c>
      <c r="B2" s="44"/>
      <c r="C2" s="44"/>
      <c r="D2" s="44"/>
      <c r="E2" s="44"/>
      <c r="F2" s="44"/>
      <c r="G2" s="44"/>
      <c r="H2" s="44"/>
      <c r="I2" s="44"/>
      <c r="J2" s="45" t="s">
        <v>176</v>
      </c>
      <c r="K2" s="45"/>
      <c r="L2" s="45"/>
      <c r="M2" s="45"/>
      <c r="N2" s="45"/>
      <c r="O2" s="45"/>
      <c r="P2" s="46" t="s">
        <v>177</v>
      </c>
      <c r="Q2" s="46"/>
      <c r="R2" s="46"/>
      <c r="S2" s="46"/>
      <c r="T2" s="46"/>
      <c r="U2" s="47" t="s">
        <v>178</v>
      </c>
      <c r="V2" s="47"/>
      <c r="W2" s="44" t="s">
        <v>179</v>
      </c>
      <c r="X2" s="44"/>
      <c r="Y2" s="44"/>
      <c r="Z2" s="44"/>
      <c r="AA2" s="48" t="s">
        <v>180</v>
      </c>
      <c r="AB2" s="48"/>
    </row>
    <row r="3" spans="1:28" ht="51.75" customHeight="1">
      <c r="A3" s="17" t="s">
        <v>181</v>
      </c>
      <c r="B3" s="18" t="s">
        <v>182</v>
      </c>
      <c r="C3" s="18" t="s">
        <v>183</v>
      </c>
      <c r="D3" s="18" t="s">
        <v>184</v>
      </c>
      <c r="E3" s="18" t="s">
        <v>185</v>
      </c>
      <c r="F3" s="18" t="s">
        <v>186</v>
      </c>
      <c r="G3" s="18" t="s">
        <v>187</v>
      </c>
      <c r="H3" s="18" t="s">
        <v>188</v>
      </c>
      <c r="I3" s="18" t="s">
        <v>189</v>
      </c>
      <c r="J3" s="18" t="s">
        <v>190</v>
      </c>
      <c r="K3" s="18" t="s">
        <v>191</v>
      </c>
      <c r="L3" s="18" t="s">
        <v>192</v>
      </c>
      <c r="M3" s="18" t="s">
        <v>193</v>
      </c>
      <c r="N3" s="18" t="s">
        <v>194</v>
      </c>
      <c r="O3" s="18" t="s">
        <v>195</v>
      </c>
      <c r="P3" s="18" t="s">
        <v>196</v>
      </c>
      <c r="Q3" s="18" t="s">
        <v>197</v>
      </c>
      <c r="R3" s="18" t="s">
        <v>198</v>
      </c>
      <c r="S3" s="18" t="s">
        <v>199</v>
      </c>
      <c r="T3" s="18" t="s">
        <v>200</v>
      </c>
      <c r="U3" s="18" t="s">
        <v>201</v>
      </c>
      <c r="V3" s="18" t="s">
        <v>202</v>
      </c>
      <c r="W3" s="18" t="s">
        <v>203</v>
      </c>
      <c r="X3" s="18" t="s">
        <v>204</v>
      </c>
      <c r="Y3" s="18" t="s">
        <v>205</v>
      </c>
      <c r="Z3" s="18" t="s">
        <v>206</v>
      </c>
      <c r="AA3" s="18" t="s">
        <v>207</v>
      </c>
      <c r="AB3" s="19" t="s">
        <v>208</v>
      </c>
    </row>
    <row r="4" spans="1:28" ht="31.5" customHeight="1">
      <c r="A4" s="20" t="s">
        <v>209</v>
      </c>
      <c r="B4" s="20" t="s">
        <v>210</v>
      </c>
      <c r="C4" s="20" t="s">
        <v>211</v>
      </c>
      <c r="D4" s="20" t="s">
        <v>212</v>
      </c>
      <c r="E4" s="20" t="s">
        <v>213</v>
      </c>
      <c r="F4" s="20" t="s">
        <v>214</v>
      </c>
      <c r="G4" s="20" t="s">
        <v>215</v>
      </c>
      <c r="H4" s="20" t="s">
        <v>216</v>
      </c>
      <c r="I4" s="20" t="s">
        <v>217</v>
      </c>
      <c r="J4" s="20" t="s">
        <v>218</v>
      </c>
      <c r="K4" s="20" t="s">
        <v>219</v>
      </c>
      <c r="L4" s="20" t="s">
        <v>220</v>
      </c>
      <c r="M4" s="20" t="s">
        <v>221</v>
      </c>
      <c r="N4" s="20" t="s">
        <v>222</v>
      </c>
      <c r="O4" s="20" t="s">
        <v>223</v>
      </c>
      <c r="P4" s="20" t="s">
        <v>224</v>
      </c>
      <c r="Q4" s="20" t="s">
        <v>225</v>
      </c>
      <c r="R4" s="20" t="s">
        <v>226</v>
      </c>
      <c r="S4" s="20" t="s">
        <v>227</v>
      </c>
      <c r="T4" s="20" t="s">
        <v>228</v>
      </c>
      <c r="U4" s="20" t="s">
        <v>229</v>
      </c>
      <c r="V4" s="20" t="s">
        <v>230</v>
      </c>
      <c r="W4" s="20" t="s">
        <v>231</v>
      </c>
      <c r="X4" s="20" t="s">
        <v>232</v>
      </c>
      <c r="Y4" s="20" t="s">
        <v>233</v>
      </c>
      <c r="Z4" s="20" t="s">
        <v>234</v>
      </c>
      <c r="AA4" s="20" t="s">
        <v>235</v>
      </c>
      <c r="AB4" s="20" t="s">
        <v>235</v>
      </c>
    </row>
    <row r="5" spans="1:28" ht="15.75" customHeight="1">
      <c r="A5" s="21"/>
      <c r="B5" s="21"/>
      <c r="C5" s="21"/>
      <c r="D5" s="21"/>
      <c r="E5" s="21"/>
      <c r="F5" s="21"/>
      <c r="G5" s="21"/>
      <c r="H5" s="21"/>
      <c r="I5" s="21"/>
      <c r="J5" s="21"/>
      <c r="K5" s="21"/>
      <c r="L5" s="21"/>
      <c r="M5" s="21"/>
      <c r="N5" s="21"/>
      <c r="O5" s="21"/>
      <c r="P5" s="21"/>
      <c r="Q5" s="21"/>
      <c r="R5" s="21"/>
      <c r="S5" s="21"/>
      <c r="T5" s="21"/>
      <c r="U5" s="21"/>
      <c r="V5" s="21"/>
      <c r="W5" s="21"/>
      <c r="X5" s="21"/>
      <c r="Y5" s="21"/>
      <c r="Z5" s="21"/>
      <c r="AA5" s="22" t="str">
        <f>IFERROR(IF(COUNTIF('2. Certified Crop'!A:A,A5)&gt;0,"✓ Present","⚠ MISSING!")," ")</f>
        <v>⚠ MISSING!</v>
      </c>
      <c r="AB5" s="22" t="str">
        <f>IFERROR(IF(COUNTIF('3. Farm Unit'!A:A,A5)&gt;0,"✓ Present","⚠ MISSING!")," ")</f>
        <v>⚠ MISSING!</v>
      </c>
    </row>
    <row r="6" spans="1:28" ht="15.75" customHeight="1">
      <c r="A6" s="23"/>
      <c r="B6" s="23"/>
      <c r="C6" s="23"/>
      <c r="D6" s="23"/>
      <c r="E6" s="23"/>
      <c r="F6" s="23"/>
      <c r="G6" s="23"/>
      <c r="H6" s="23"/>
      <c r="I6" s="23"/>
      <c r="J6" s="23"/>
      <c r="K6" s="23"/>
      <c r="L6" s="23"/>
      <c r="M6" s="23"/>
      <c r="N6" s="23"/>
      <c r="O6" s="23"/>
      <c r="P6" s="23"/>
      <c r="Q6" s="23"/>
      <c r="R6" s="23"/>
      <c r="S6" s="23"/>
      <c r="T6" s="23"/>
      <c r="U6" s="23"/>
      <c r="V6" s="23"/>
      <c r="W6" s="23"/>
      <c r="X6" s="23"/>
      <c r="Y6" s="23"/>
      <c r="Z6" s="23"/>
      <c r="AA6" s="22" t="str">
        <f>IFERROR(IF(COUNTIF('2. Certified Crop'!A:A,A6)&gt;0,"✓ Present","⚠ MISSING!")," ")</f>
        <v>⚠ MISSING!</v>
      </c>
      <c r="AB6" s="22" t="str">
        <f>IFERROR(IF(COUNTIF('3. Farm Unit'!A:A,A6)&gt;0,"✓ Present","⚠ MISSING!")," ")</f>
        <v>⚠ MISSING!</v>
      </c>
    </row>
    <row r="7" spans="1:28" ht="15.75"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2" t="str">
        <f>IFERROR(IF(COUNTIF('2. Certified Crop'!A:A,A7)&gt;0,"✓ Present","⚠ MISSING!")," ")</f>
        <v>⚠ MISSING!</v>
      </c>
      <c r="AB7" s="22" t="str">
        <f>IFERROR(IF(COUNTIF('3. Farm Unit'!A:A,A7)&gt;0,"✓ Present","⚠ MISSING!")," ")</f>
        <v>⚠ MISSING!</v>
      </c>
    </row>
    <row r="8" spans="1:28" ht="15.75" customHeight="1">
      <c r="A8" s="23"/>
      <c r="B8" s="23"/>
      <c r="C8" s="23"/>
      <c r="D8" s="23"/>
      <c r="E8" s="23"/>
      <c r="F8" s="23"/>
      <c r="G8" s="23"/>
      <c r="H8" s="23"/>
      <c r="I8" s="23"/>
      <c r="J8" s="23"/>
      <c r="K8" s="23"/>
      <c r="L8" s="23"/>
      <c r="M8" s="23"/>
      <c r="N8" s="23"/>
      <c r="O8" s="23"/>
      <c r="P8" s="23"/>
      <c r="Q8" s="23"/>
      <c r="R8" s="23"/>
      <c r="S8" s="23"/>
      <c r="T8" s="23"/>
      <c r="U8" s="23"/>
      <c r="V8" s="23"/>
      <c r="W8" s="23"/>
      <c r="X8" s="23"/>
      <c r="Y8" s="23"/>
      <c r="Z8" s="23"/>
      <c r="AA8" s="22" t="str">
        <f>IFERROR(IF(COUNTIF('2. Certified Crop'!A:A,A8)&gt;0,"✓ Present","⚠ MISSING!")," ")</f>
        <v>⚠ MISSING!</v>
      </c>
      <c r="AB8" s="22" t="str">
        <f>IFERROR(IF(COUNTIF('3. Farm Unit'!A:A,A8)&gt;0,"✓ Present","⚠ MISSING!")," ")</f>
        <v>⚠ MISSING!</v>
      </c>
    </row>
    <row r="9" spans="1:28" ht="15.75"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2" t="str">
        <f>IFERROR(IF(COUNTIF('2. Certified Crop'!A:A,A9)&gt;0,"✓ Present","⚠ MISSING!")," ")</f>
        <v>⚠ MISSING!</v>
      </c>
      <c r="AB9" s="22" t="str">
        <f>IFERROR(IF(COUNTIF('3. Farm Unit'!A:A,A9)&gt;0,"✓ Present","⚠ MISSING!")," ")</f>
        <v>⚠ MISSING!</v>
      </c>
    </row>
    <row r="10" spans="1:28" ht="15.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2" t="str">
        <f>IFERROR(IF(COUNTIF('2. Certified Crop'!A:A,A10)&gt;0,"✓ Present","⚠ MISSING!")," ")</f>
        <v>⚠ MISSING!</v>
      </c>
      <c r="AB10" s="22" t="str">
        <f>IFERROR(IF(COUNTIF('3. Farm Unit'!A:A,A10)&gt;0,"✓ Present","⚠ MISSING!")," ")</f>
        <v>⚠ MISSING!</v>
      </c>
    </row>
    <row r="11" spans="1:28" ht="15.75"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2" t="str">
        <f>IFERROR(IF(COUNTIF('2. Certified Crop'!A:A,A11)&gt;0,"✓ Present","⚠ MISSING!")," ")</f>
        <v>⚠ MISSING!</v>
      </c>
      <c r="AB11" s="22" t="str">
        <f>IFERROR(IF(COUNTIF('3. Farm Unit'!A:A,A11)&gt;0,"✓ Present","⚠ MISSING!")," ")</f>
        <v>⚠ MISSING!</v>
      </c>
    </row>
    <row r="12" spans="1:28" ht="15.7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2" t="str">
        <f>IFERROR(IF(COUNTIF('2. Certified Crop'!A:A,A12)&gt;0,"✓ Present","⚠ MISSING!")," ")</f>
        <v>⚠ MISSING!</v>
      </c>
      <c r="AB12" s="22" t="str">
        <f>IFERROR(IF(COUNTIF('3. Farm Unit'!A:A,A12)&gt;0,"✓ Present","⚠ MISSING!")," ")</f>
        <v>⚠ MISSING!</v>
      </c>
    </row>
    <row r="13" spans="1:28" ht="15.7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2" t="str">
        <f>IFERROR(IF(COUNTIF('2. Certified Crop'!A:A,A13)&gt;0,"✓ Present","⚠ MISSING!")," ")</f>
        <v>⚠ MISSING!</v>
      </c>
      <c r="AB13" s="22" t="str">
        <f>IFERROR(IF(COUNTIF('3. Farm Unit'!A:A,A13)&gt;0,"✓ Present","⚠ MISSING!")," ")</f>
        <v>⚠ MISSING!</v>
      </c>
    </row>
    <row r="14" spans="1:28"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2" t="str">
        <f>IFERROR(IF(COUNTIF('2. Certified Crop'!A:A,A14)&gt;0,"✓ Present","⚠ MISSING!")," ")</f>
        <v>⚠ MISSING!</v>
      </c>
      <c r="AB14" s="22" t="str">
        <f>IFERROR(IF(COUNTIF('3. Farm Unit'!A:A,A14)&gt;0,"✓ Present","⚠ MISSING!")," ")</f>
        <v>⚠ MISSING!</v>
      </c>
    </row>
    <row r="15" spans="1:28" ht="15.7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2" t="str">
        <f>IFERROR(IF(COUNTIF('2. Certified Crop'!A:A,A15)&gt;0,"✓ Present","⚠ MISSING!")," ")</f>
        <v>⚠ MISSING!</v>
      </c>
      <c r="AB15" s="22" t="str">
        <f>IFERROR(IF(COUNTIF('3. Farm Unit'!A:A,A15)&gt;0,"✓ Present","⚠ MISSING!")," ")</f>
        <v>⚠ MISSING!</v>
      </c>
    </row>
    <row r="16" spans="1:28"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2" t="str">
        <f>IFERROR(IF(COUNTIF('2. Certified Crop'!A:A,A16)&gt;0,"✓ Present","⚠ MISSING!")," ")</f>
        <v>⚠ MISSING!</v>
      </c>
      <c r="AB16" s="22" t="str">
        <f>IFERROR(IF(COUNTIF('3. Farm Unit'!A:A,A16)&gt;0,"✓ Present","⚠ MISSING!")," ")</f>
        <v>⚠ MISSING!</v>
      </c>
    </row>
    <row r="17" spans="1:28" ht="15.7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2" t="str">
        <f>IFERROR(IF(COUNTIF('2. Certified Crop'!A:A,A17)&gt;0,"✓ Present","⚠ MISSING!")," ")</f>
        <v>⚠ MISSING!</v>
      </c>
      <c r="AB17" s="22" t="str">
        <f>IFERROR(IF(COUNTIF('3. Farm Unit'!A:A,A17)&gt;0,"✓ Present","⚠ MISSING!")," ")</f>
        <v>⚠ MISSING!</v>
      </c>
    </row>
    <row r="18" spans="1:2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2" t="str">
        <f>IFERROR(IF(COUNTIF('2. Certified Crop'!A:A,A18)&gt;0,"✓ Present","⚠ MISSING!")," ")</f>
        <v>⚠ MISSING!</v>
      </c>
      <c r="AB18" s="22" t="str">
        <f>IFERROR(IF(COUNTIF('3. Farm Unit'!A:A,A18)&gt;0,"✓ Present","⚠ MISSING!")," ")</f>
        <v>⚠ MISSING!</v>
      </c>
    </row>
    <row r="19" spans="1:28" ht="15.7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2" t="str">
        <f>IFERROR(IF(COUNTIF('2. Certified Crop'!A:A,A19)&gt;0,"✓ Present","⚠ MISSING!")," ")</f>
        <v>⚠ MISSING!</v>
      </c>
      <c r="AB19" s="22" t="str">
        <f>IFERROR(IF(COUNTIF('3. Farm Unit'!A:A,A19)&gt;0,"✓ Present","⚠ MISSING!")," ")</f>
        <v>⚠ MISSING!</v>
      </c>
    </row>
    <row r="20" spans="1:28"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2" t="str">
        <f>IFERROR(IF(COUNTIF('2. Certified Crop'!A:A,A20)&gt;0,"✓ Present","⚠ MISSING!")," ")</f>
        <v>⚠ MISSING!</v>
      </c>
      <c r="AB20" s="22" t="str">
        <f>IFERROR(IF(COUNTIF('3. Farm Unit'!A:A,A20)&gt;0,"✓ Present","⚠ MISSING!")," ")</f>
        <v>⚠ MISSING!</v>
      </c>
    </row>
    <row r="21" spans="1:28"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2" t="str">
        <f>IFERROR(IF(COUNTIF('2. Certified Crop'!A:A,A21)&gt;0,"✓ Present","⚠ MISSING!")," ")</f>
        <v>⚠ MISSING!</v>
      </c>
      <c r="AB21" s="22" t="str">
        <f>IFERROR(IF(COUNTIF('3. Farm Unit'!A:A,A21)&gt;0,"✓ Present","⚠ MISSING!")," ")</f>
        <v>⚠ MISSING!</v>
      </c>
    </row>
    <row r="22" spans="1:28"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2" t="str">
        <f>IFERROR(IF(COUNTIF('2. Certified Crop'!A:A,A22)&gt;0,"✓ Present","⚠ MISSING!")," ")</f>
        <v>⚠ MISSING!</v>
      </c>
      <c r="AB22" s="22" t="str">
        <f>IFERROR(IF(COUNTIF('3. Farm Unit'!A:A,A22)&gt;0,"✓ Present","⚠ MISSING!")," ")</f>
        <v>⚠ MISSING!</v>
      </c>
    </row>
    <row r="23" spans="1:28"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2" t="str">
        <f>IFERROR(IF(COUNTIF('2. Certified Crop'!A:A,A23)&gt;0,"✓ Present","⚠ MISSING!")," ")</f>
        <v>⚠ MISSING!</v>
      </c>
      <c r="AB23" s="22" t="str">
        <f>IFERROR(IF(COUNTIF('3. Farm Unit'!A:A,A23)&gt;0,"✓ Present","⚠ MISSING!")," ")</f>
        <v>⚠ MISSING!</v>
      </c>
    </row>
    <row r="24" spans="1:28"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2" t="str">
        <f>IFERROR(IF(COUNTIF('2. Certified Crop'!A:A,A24)&gt;0,"✓ Present","⚠ MISSING!")," ")</f>
        <v>⚠ MISSING!</v>
      </c>
      <c r="AB24" s="22" t="str">
        <f>IFERROR(IF(COUNTIF('3. Farm Unit'!A:A,A24)&gt;0,"✓ Present","⚠ MISSING!")," ")</f>
        <v>⚠ MISSING!</v>
      </c>
    </row>
    <row r="25" spans="1:28"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2" t="str">
        <f>IFERROR(IF(COUNTIF('2. Certified Crop'!A:A,A25)&gt;0,"✓ Present","⚠ MISSING!")," ")</f>
        <v>⚠ MISSING!</v>
      </c>
      <c r="AB25" s="22" t="str">
        <f>IFERROR(IF(COUNTIF('3. Farm Unit'!A:A,A25)&gt;0,"✓ Present","⚠ MISSING!")," ")</f>
        <v>⚠ MISSING!</v>
      </c>
    </row>
    <row r="26" spans="1:28"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2" t="str">
        <f>IFERROR(IF(COUNTIF('2. Certified Crop'!A:A,A26)&gt;0,"✓ Present","⚠ MISSING!")," ")</f>
        <v>⚠ MISSING!</v>
      </c>
      <c r="AB26" s="22" t="str">
        <f>IFERROR(IF(COUNTIF('3. Farm Unit'!A:A,A26)&gt;0,"✓ Present","⚠ MISSING!")," ")</f>
        <v>⚠ MISSING!</v>
      </c>
    </row>
    <row r="27" spans="1:28"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2" t="str">
        <f>IFERROR(IF(COUNTIF('2. Certified Crop'!A:A,A27)&gt;0,"✓ Present","⚠ MISSING!")," ")</f>
        <v>⚠ MISSING!</v>
      </c>
      <c r="AB27" s="22" t="str">
        <f>IFERROR(IF(COUNTIF('3. Farm Unit'!A:A,A27)&gt;0,"✓ Present","⚠ MISSING!")," ")</f>
        <v>⚠ MISSING!</v>
      </c>
    </row>
    <row r="28" spans="1: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2" t="str">
        <f>IFERROR(IF(COUNTIF('2. Certified Crop'!A:A,A28)&gt;0,"✓ Present","⚠ MISSING!")," ")</f>
        <v>⚠ MISSING!</v>
      </c>
      <c r="AB28" s="22" t="str">
        <f>IFERROR(IF(COUNTIF('3. Farm Unit'!A:A,A28)&gt;0,"✓ Present","⚠ MISSING!")," ")</f>
        <v>⚠ MISSING!</v>
      </c>
    </row>
    <row r="29" spans="1:28"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2" t="str">
        <f>IFERROR(IF(COUNTIF('2. Certified Crop'!A:A,A29)&gt;0,"✓ Present","⚠ MISSING!")," ")</f>
        <v>⚠ MISSING!</v>
      </c>
      <c r="AB29" s="22" t="str">
        <f>IFERROR(IF(COUNTIF('3. Farm Unit'!A:A,A29)&gt;0,"✓ Present","⚠ MISSING!")," ")</f>
        <v>⚠ MISSING!</v>
      </c>
    </row>
    <row r="30" spans="1:28"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2" t="str">
        <f>IFERROR(IF(COUNTIF('2. Certified Crop'!A:A,A30)&gt;0,"✓ Present","⚠ MISSING!")," ")</f>
        <v>⚠ MISSING!</v>
      </c>
      <c r="AB30" s="22" t="str">
        <f>IFERROR(IF(COUNTIF('3. Farm Unit'!A:A,A30)&gt;0,"✓ Present","⚠ MISSING!")," ")</f>
        <v>⚠ MISSING!</v>
      </c>
    </row>
    <row r="31" spans="1:28"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2" t="str">
        <f>IFERROR(IF(COUNTIF('2. Certified Crop'!A:A,A31)&gt;0,"✓ Present","⚠ MISSING!")," ")</f>
        <v>⚠ MISSING!</v>
      </c>
      <c r="AB31" s="22" t="str">
        <f>IFERROR(IF(COUNTIF('3. Farm Unit'!A:A,A31)&gt;0,"✓ Present","⚠ MISSING!")," ")</f>
        <v>⚠ MISSING!</v>
      </c>
    </row>
    <row r="32" spans="1:28"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2" t="str">
        <f>IFERROR(IF(COUNTIF('2. Certified Crop'!A:A,A32)&gt;0,"✓ Present","⚠ MISSING!")," ")</f>
        <v>⚠ MISSING!</v>
      </c>
      <c r="AB32" s="22" t="str">
        <f>IFERROR(IF(COUNTIF('3. Farm Unit'!A:A,A32)&gt;0,"✓ Present","⚠ MISSING!")," ")</f>
        <v>⚠ MISSING!</v>
      </c>
    </row>
    <row r="33" spans="1:28"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2" t="str">
        <f>IFERROR(IF(COUNTIF('2. Certified Crop'!A:A,A33)&gt;0,"✓ Present","⚠ MISSING!")," ")</f>
        <v>⚠ MISSING!</v>
      </c>
      <c r="AB33" s="22" t="str">
        <f>IFERROR(IF(COUNTIF('3. Farm Unit'!A:A,A33)&gt;0,"✓ Present","⚠ MISSING!")," ")</f>
        <v>⚠ MISSING!</v>
      </c>
    </row>
    <row r="34" spans="1:28"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2" t="str">
        <f>IFERROR(IF(COUNTIF('2. Certified Crop'!A:A,A34)&gt;0,"✓ Present","⚠ MISSING!")," ")</f>
        <v>⚠ MISSING!</v>
      </c>
      <c r="AB34" s="22" t="str">
        <f>IFERROR(IF(COUNTIF('3. Farm Unit'!A:A,A34)&gt;0,"✓ Present","⚠ MISSING!")," ")</f>
        <v>⚠ MISSING!</v>
      </c>
    </row>
    <row r="35" spans="1:28"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2" t="str">
        <f>IFERROR(IF(COUNTIF('2. Certified Crop'!A:A,A35)&gt;0,"✓ Present","⚠ MISSING!")," ")</f>
        <v>⚠ MISSING!</v>
      </c>
      <c r="AB35" s="22" t="str">
        <f>IFERROR(IF(COUNTIF('3. Farm Unit'!A:A,A35)&gt;0,"✓ Present","⚠ MISSING!")," ")</f>
        <v>⚠ MISSING!</v>
      </c>
    </row>
    <row r="36" spans="1:28"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2" t="str">
        <f>IFERROR(IF(COUNTIF('2. Certified Crop'!A:A,A36)&gt;0,"✓ Present","⚠ MISSING!")," ")</f>
        <v>⚠ MISSING!</v>
      </c>
      <c r="AB36" s="22" t="str">
        <f>IFERROR(IF(COUNTIF('3. Farm Unit'!A:A,A36)&gt;0,"✓ Present","⚠ MISSING!")," ")</f>
        <v>⚠ MISSING!</v>
      </c>
    </row>
    <row r="37" spans="1:28"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2" t="str">
        <f>IFERROR(IF(COUNTIF('2. Certified Crop'!A:A,A37)&gt;0,"✓ Present","⚠ MISSING!")," ")</f>
        <v>⚠ MISSING!</v>
      </c>
      <c r="AB37" s="22" t="str">
        <f>IFERROR(IF(COUNTIF('3. Farm Unit'!A:A,A37)&gt;0,"✓ Present","⚠ MISSING!")," ")</f>
        <v>⚠ MISSING!</v>
      </c>
    </row>
    <row r="38" spans="1:2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2" t="str">
        <f>IFERROR(IF(COUNTIF('2. Certified Crop'!A:A,A38)&gt;0,"✓ Present","⚠ MISSING!")," ")</f>
        <v>⚠ MISSING!</v>
      </c>
      <c r="AB38" s="22" t="str">
        <f>IFERROR(IF(COUNTIF('3. Farm Unit'!A:A,A38)&gt;0,"✓ Present","⚠ MISSING!")," ")</f>
        <v>⚠ MISSING!</v>
      </c>
    </row>
    <row r="39" spans="1:28"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2" t="str">
        <f>IFERROR(IF(COUNTIF('2. Certified Crop'!A:A,A39)&gt;0,"✓ Present","⚠ MISSING!")," ")</f>
        <v>⚠ MISSING!</v>
      </c>
      <c r="AB39" s="22" t="str">
        <f>IFERROR(IF(COUNTIF('3. Farm Unit'!A:A,A39)&gt;0,"✓ Present","⚠ MISSING!")," ")</f>
        <v>⚠ MISSING!</v>
      </c>
    </row>
    <row r="40" spans="1:28"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2" t="str">
        <f>IFERROR(IF(COUNTIF('2. Certified Crop'!A:A,A40)&gt;0,"✓ Present","⚠ MISSING!")," ")</f>
        <v>⚠ MISSING!</v>
      </c>
      <c r="AB40" s="22" t="str">
        <f>IFERROR(IF(COUNTIF('3. Farm Unit'!A:A,A40)&gt;0,"✓ Present","⚠ MISSING!")," ")</f>
        <v>⚠ MISSING!</v>
      </c>
    </row>
    <row r="41" spans="1:28"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2" t="str">
        <f>IFERROR(IF(COUNTIF('2. Certified Crop'!A:A,A41)&gt;0,"✓ Present","⚠ MISSING!")," ")</f>
        <v>⚠ MISSING!</v>
      </c>
      <c r="AB41" s="22" t="str">
        <f>IFERROR(IF(COUNTIF('3. Farm Unit'!A:A,A41)&gt;0,"✓ Present","⚠ MISSING!")," ")</f>
        <v>⚠ MISSING!</v>
      </c>
    </row>
    <row r="42" spans="1:28"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2" t="str">
        <f>IFERROR(IF(COUNTIF('2. Certified Crop'!A:A,A42)&gt;0,"✓ Present","⚠ MISSING!")," ")</f>
        <v>⚠ MISSING!</v>
      </c>
      <c r="AB42" s="22" t="str">
        <f>IFERROR(IF(COUNTIF('3. Farm Unit'!A:A,A42)&gt;0,"✓ Present","⚠ MISSING!")," ")</f>
        <v>⚠ MISSING!</v>
      </c>
    </row>
    <row r="43" spans="1:28"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2" t="str">
        <f>IFERROR(IF(COUNTIF('2. Certified Crop'!A:A,A43)&gt;0,"✓ Present","⚠ MISSING!")," ")</f>
        <v>⚠ MISSING!</v>
      </c>
      <c r="AB43" s="22" t="str">
        <f>IFERROR(IF(COUNTIF('3. Farm Unit'!A:A,A43)&gt;0,"✓ Present","⚠ MISSING!")," ")</f>
        <v>⚠ MISSING!</v>
      </c>
    </row>
    <row r="44" spans="1:28"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2" t="str">
        <f>IFERROR(IF(COUNTIF('2. Certified Crop'!A:A,A44)&gt;0,"✓ Present","⚠ MISSING!")," ")</f>
        <v>⚠ MISSING!</v>
      </c>
      <c r="AB44" s="22" t="str">
        <f>IFERROR(IF(COUNTIF('3. Farm Unit'!A:A,A44)&gt;0,"✓ Present","⚠ MISSING!")," ")</f>
        <v>⚠ MISSING!</v>
      </c>
    </row>
    <row r="45" spans="1:28"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2" t="str">
        <f>IFERROR(IF(COUNTIF('2. Certified Crop'!A:A,A45)&gt;0,"✓ Present","⚠ MISSING!")," ")</f>
        <v>⚠ MISSING!</v>
      </c>
      <c r="AB45" s="22" t="str">
        <f>IFERROR(IF(COUNTIF('3. Farm Unit'!A:A,A45)&gt;0,"✓ Present","⚠ MISSING!")," ")</f>
        <v>⚠ MISSING!</v>
      </c>
    </row>
    <row r="46" spans="1:28"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2" t="str">
        <f>IFERROR(IF(COUNTIF('2. Certified Crop'!A:A,A46)&gt;0,"✓ Present","⚠ MISSING!")," ")</f>
        <v>⚠ MISSING!</v>
      </c>
      <c r="AB46" s="22" t="str">
        <f>IFERROR(IF(COUNTIF('3. Farm Unit'!A:A,A46)&gt;0,"✓ Present","⚠ MISSING!")," ")</f>
        <v>⚠ MISSING!</v>
      </c>
    </row>
    <row r="47" spans="1:28"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2" t="str">
        <f>IFERROR(IF(COUNTIF('2. Certified Crop'!A:A,A47)&gt;0,"✓ Present","⚠ MISSING!")," ")</f>
        <v>⚠ MISSING!</v>
      </c>
      <c r="AB47" s="22" t="str">
        <f>IFERROR(IF(COUNTIF('3. Farm Unit'!A:A,A47)&gt;0,"✓ Present","⚠ MISSING!")," ")</f>
        <v>⚠ MISSING!</v>
      </c>
    </row>
    <row r="48" spans="1:2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2" t="str">
        <f>IFERROR(IF(COUNTIF('2. Certified Crop'!A:A,A48)&gt;0,"✓ Present","⚠ MISSING!")," ")</f>
        <v>⚠ MISSING!</v>
      </c>
      <c r="AB48" s="22" t="str">
        <f>IFERROR(IF(COUNTIF('3. Farm Unit'!A:A,A48)&gt;0,"✓ Present","⚠ MISSING!")," ")</f>
        <v>⚠ MISSING!</v>
      </c>
    </row>
    <row r="49" spans="1:28"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2" t="str">
        <f>IFERROR(IF(COUNTIF('2. Certified Crop'!A:A,A49)&gt;0,"✓ Present","⚠ MISSING!")," ")</f>
        <v>⚠ MISSING!</v>
      </c>
      <c r="AB49" s="22" t="str">
        <f>IFERROR(IF(COUNTIF('3. Farm Unit'!A:A,A49)&gt;0,"✓ Present","⚠ MISSING!")," ")</f>
        <v>⚠ MISSING!</v>
      </c>
    </row>
    <row r="50" spans="1:28"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2" t="str">
        <f>IFERROR(IF(COUNTIF('2. Certified Crop'!A:A,A50)&gt;0,"✓ Present","⚠ MISSING!")," ")</f>
        <v>⚠ MISSING!</v>
      </c>
      <c r="AB50" s="22" t="str">
        <f>IFERROR(IF(COUNTIF('3. Farm Unit'!A:A,A50)&gt;0,"✓ Present","⚠ MISSING!")," ")</f>
        <v>⚠ MISSING!</v>
      </c>
    </row>
    <row r="51" spans="1:28"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2" t="str">
        <f>IFERROR(IF(COUNTIF('2. Certified Crop'!A:A,A51)&gt;0,"✓ Present","⚠ MISSING!")," ")</f>
        <v>⚠ MISSING!</v>
      </c>
      <c r="AB51" s="22" t="str">
        <f>IFERROR(IF(COUNTIF('3. Farm Unit'!A:A,A51)&gt;0,"✓ Present","⚠ MISSING!")," ")</f>
        <v>⚠ MISSING!</v>
      </c>
    </row>
    <row r="52" spans="1:28"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2" t="str">
        <f>IFERROR(IF(COUNTIF('2. Certified Crop'!A:A,A52)&gt;0,"✓ Present","⚠ MISSING!")," ")</f>
        <v>⚠ MISSING!</v>
      </c>
      <c r="AB52" s="22" t="str">
        <f>IFERROR(IF(COUNTIF('3. Farm Unit'!A:A,A52)&gt;0,"✓ Present","⚠ MISSING!")," ")</f>
        <v>⚠ MISSING!</v>
      </c>
    </row>
    <row r="53" spans="1:28"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2" t="str">
        <f>IFERROR(IF(COUNTIF('2. Certified Crop'!A:A,A53)&gt;0,"✓ Present","⚠ MISSING!")," ")</f>
        <v>⚠ MISSING!</v>
      </c>
      <c r="AB53" s="22" t="str">
        <f>IFERROR(IF(COUNTIF('3. Farm Unit'!A:A,A53)&gt;0,"✓ Present","⚠ MISSING!")," ")</f>
        <v>⚠ MISSING!</v>
      </c>
    </row>
    <row r="54" spans="1:28"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2" t="str">
        <f>IFERROR(IF(COUNTIF('2. Certified Crop'!A:A,A54)&gt;0,"✓ Present","⚠ MISSING!")," ")</f>
        <v>⚠ MISSING!</v>
      </c>
      <c r="AB54" s="22" t="str">
        <f>IFERROR(IF(COUNTIF('3. Farm Unit'!A:A,A54)&gt;0,"✓ Present","⚠ MISSING!")," ")</f>
        <v>⚠ MISSING!</v>
      </c>
    </row>
    <row r="55" spans="1:28"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2" t="str">
        <f>IFERROR(IF(COUNTIF('2. Certified Crop'!A:A,A55)&gt;0,"✓ Present","⚠ MISSING!")," ")</f>
        <v>⚠ MISSING!</v>
      </c>
      <c r="AB55" s="22" t="str">
        <f>IFERROR(IF(COUNTIF('3. Farm Unit'!A:A,A55)&gt;0,"✓ Present","⚠ MISSING!")," ")</f>
        <v>⚠ MISSING!</v>
      </c>
    </row>
    <row r="56" spans="1:28"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2" t="str">
        <f>IFERROR(IF(COUNTIF('2. Certified Crop'!A:A,A56)&gt;0,"✓ Present","⚠ MISSING!")," ")</f>
        <v>⚠ MISSING!</v>
      </c>
      <c r="AB56" s="22" t="str">
        <f>IFERROR(IF(COUNTIF('3. Farm Unit'!A:A,A56)&gt;0,"✓ Present","⚠ MISSING!")," ")</f>
        <v>⚠ MISSING!</v>
      </c>
    </row>
    <row r="57" spans="1:28"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2" t="str">
        <f>IFERROR(IF(COUNTIF('2. Certified Crop'!A:A,A57)&gt;0,"✓ Present","⚠ MISSING!")," ")</f>
        <v>⚠ MISSING!</v>
      </c>
      <c r="AB57" s="22" t="str">
        <f>IFERROR(IF(COUNTIF('3. Farm Unit'!A:A,A57)&gt;0,"✓ Present","⚠ MISSING!")," ")</f>
        <v>⚠ MISSING!</v>
      </c>
    </row>
    <row r="58" spans="1:2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2" t="str">
        <f>IFERROR(IF(COUNTIF('2. Certified Crop'!A:A,A58)&gt;0,"✓ Present","⚠ MISSING!")," ")</f>
        <v>⚠ MISSING!</v>
      </c>
      <c r="AB58" s="22" t="str">
        <f>IFERROR(IF(COUNTIF('3. Farm Unit'!A:A,A58)&gt;0,"✓ Present","⚠ MISSING!")," ")</f>
        <v>⚠ MISSING!</v>
      </c>
    </row>
    <row r="59" spans="1:28"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2" t="str">
        <f>IFERROR(IF(COUNTIF('2. Certified Crop'!A:A,A59)&gt;0,"✓ Present","⚠ MISSING!")," ")</f>
        <v>⚠ MISSING!</v>
      </c>
      <c r="AB59" s="22" t="str">
        <f>IFERROR(IF(COUNTIF('3. Farm Unit'!A:A,A59)&gt;0,"✓ Present","⚠ MISSING!")," ")</f>
        <v>⚠ MISSING!</v>
      </c>
    </row>
    <row r="60" spans="1:28"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2" t="str">
        <f>IFERROR(IF(COUNTIF('2. Certified Crop'!A:A,A60)&gt;0,"✓ Present","⚠ MISSING!")," ")</f>
        <v>⚠ MISSING!</v>
      </c>
      <c r="AB60" s="22" t="str">
        <f>IFERROR(IF(COUNTIF('3. Farm Unit'!A:A,A60)&gt;0,"✓ Present","⚠ MISSING!")," ")</f>
        <v>⚠ MISSING!</v>
      </c>
    </row>
    <row r="61" spans="1:28"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2" t="str">
        <f>IFERROR(IF(COUNTIF('2. Certified Crop'!A:A,A61)&gt;0,"✓ Present","⚠ MISSING!")," ")</f>
        <v>⚠ MISSING!</v>
      </c>
      <c r="AB61" s="22" t="str">
        <f>IFERROR(IF(COUNTIF('3. Farm Unit'!A:A,A61)&gt;0,"✓ Present","⚠ MISSING!")," ")</f>
        <v>⚠ MISSING!</v>
      </c>
    </row>
    <row r="62" spans="1:28"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2" t="str">
        <f>IFERROR(IF(COUNTIF('2. Certified Crop'!A:A,A62)&gt;0,"✓ Present","⚠ MISSING!")," ")</f>
        <v>⚠ MISSING!</v>
      </c>
      <c r="AB62" s="22" t="str">
        <f>IFERROR(IF(COUNTIF('3. Farm Unit'!A:A,A62)&gt;0,"✓ Present","⚠ MISSING!")," ")</f>
        <v>⚠ MISSING!</v>
      </c>
    </row>
    <row r="63" spans="1:28"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2" t="str">
        <f>IFERROR(IF(COUNTIF('2. Certified Crop'!A:A,A63)&gt;0,"✓ Present","⚠ MISSING!")," ")</f>
        <v>⚠ MISSING!</v>
      </c>
      <c r="AB63" s="22" t="str">
        <f>IFERROR(IF(COUNTIF('3. Farm Unit'!A:A,A63)&gt;0,"✓ Present","⚠ MISSING!")," ")</f>
        <v>⚠ MISSING!</v>
      </c>
    </row>
    <row r="64" spans="1:28"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2" t="str">
        <f>IFERROR(IF(COUNTIF('2. Certified Crop'!A:A,A64)&gt;0,"✓ Present","⚠ MISSING!")," ")</f>
        <v>⚠ MISSING!</v>
      </c>
      <c r="AB64" s="22" t="str">
        <f>IFERROR(IF(COUNTIF('3. Farm Unit'!A:A,A64)&gt;0,"✓ Present","⚠ MISSING!")," ")</f>
        <v>⚠ MISSING!</v>
      </c>
    </row>
    <row r="65" spans="1:28"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2" t="str">
        <f>IFERROR(IF(COUNTIF('2. Certified Crop'!A:A,A65)&gt;0,"✓ Present","⚠ MISSING!")," ")</f>
        <v>⚠ MISSING!</v>
      </c>
      <c r="AB65" s="22" t="str">
        <f>IFERROR(IF(COUNTIF('3. Farm Unit'!A:A,A65)&gt;0,"✓ Present","⚠ MISSING!")," ")</f>
        <v>⚠ MISSING!</v>
      </c>
    </row>
    <row r="66" spans="1:28"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2" t="str">
        <f>IFERROR(IF(COUNTIF('2. Certified Crop'!A:A,A66)&gt;0,"✓ Present","⚠ MISSING!")," ")</f>
        <v>⚠ MISSING!</v>
      </c>
      <c r="AB66" s="22" t="str">
        <f>IFERROR(IF(COUNTIF('3. Farm Unit'!A:A,A66)&gt;0,"✓ Present","⚠ MISSING!")," ")</f>
        <v>⚠ MISSING!</v>
      </c>
    </row>
    <row r="67" spans="1:28"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2" t="str">
        <f>IFERROR(IF(COUNTIF('2. Certified Crop'!A:A,A67)&gt;0,"✓ Present","⚠ MISSING!")," ")</f>
        <v>⚠ MISSING!</v>
      </c>
      <c r="AB67" s="22" t="str">
        <f>IFERROR(IF(COUNTIF('3. Farm Unit'!A:A,A67)&gt;0,"✓ Present","⚠ MISSING!")," ")</f>
        <v>⚠ MISSING!</v>
      </c>
    </row>
    <row r="68" spans="1:2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2" t="str">
        <f>IFERROR(IF(COUNTIF('2. Certified Crop'!A:A,A68)&gt;0,"✓ Present","⚠ MISSING!")," ")</f>
        <v>⚠ MISSING!</v>
      </c>
      <c r="AB68" s="22" t="str">
        <f>IFERROR(IF(COUNTIF('3. Farm Unit'!A:A,A68)&gt;0,"✓ Present","⚠ MISSING!")," ")</f>
        <v>⚠ MISSING!</v>
      </c>
    </row>
    <row r="69" spans="1:28"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2" t="str">
        <f>IFERROR(IF(COUNTIF('2. Certified Crop'!A:A,A69)&gt;0,"✓ Present","⚠ MISSING!")," ")</f>
        <v>⚠ MISSING!</v>
      </c>
      <c r="AB69" s="22" t="str">
        <f>IFERROR(IF(COUNTIF('3. Farm Unit'!A:A,A69)&gt;0,"✓ Present","⚠ MISSING!")," ")</f>
        <v>⚠ MISSING!</v>
      </c>
    </row>
    <row r="70" spans="1:28"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2" t="str">
        <f>IFERROR(IF(COUNTIF('2. Certified Crop'!A:A,A70)&gt;0,"✓ Present","⚠ MISSING!")," ")</f>
        <v>⚠ MISSING!</v>
      </c>
      <c r="AB70" s="22" t="str">
        <f>IFERROR(IF(COUNTIF('3. Farm Unit'!A:A,A70)&gt;0,"✓ Present","⚠ MISSING!")," ")</f>
        <v>⚠ MISSING!</v>
      </c>
    </row>
    <row r="71" spans="1:28"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2" t="str">
        <f>IFERROR(IF(COUNTIF('2. Certified Crop'!A:A,A71)&gt;0,"✓ Present","⚠ MISSING!")," ")</f>
        <v>⚠ MISSING!</v>
      </c>
      <c r="AB71" s="22" t="str">
        <f>IFERROR(IF(COUNTIF('3. Farm Unit'!A:A,A71)&gt;0,"✓ Present","⚠ MISSING!")," ")</f>
        <v>⚠ MISSING!</v>
      </c>
    </row>
    <row r="72" spans="1:28"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2" t="str">
        <f>IFERROR(IF(COUNTIF('2. Certified Crop'!A:A,A72)&gt;0,"✓ Present","⚠ MISSING!")," ")</f>
        <v>⚠ MISSING!</v>
      </c>
      <c r="AB72" s="22" t="str">
        <f>IFERROR(IF(COUNTIF('3. Farm Unit'!A:A,A72)&gt;0,"✓ Present","⚠ MISSING!")," ")</f>
        <v>⚠ MISSING!</v>
      </c>
    </row>
    <row r="73" spans="1:28"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2" t="str">
        <f>IFERROR(IF(COUNTIF('2. Certified Crop'!A:A,A73)&gt;0,"✓ Present","⚠ MISSING!")," ")</f>
        <v>⚠ MISSING!</v>
      </c>
      <c r="AB73" s="22" t="str">
        <f>IFERROR(IF(COUNTIF('3. Farm Unit'!A:A,A73)&gt;0,"✓ Present","⚠ MISSING!")," ")</f>
        <v>⚠ MISSING!</v>
      </c>
    </row>
    <row r="74" spans="1:28"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2" t="str">
        <f>IFERROR(IF(COUNTIF('2. Certified Crop'!A:A,A74)&gt;0,"✓ Present","⚠ MISSING!")," ")</f>
        <v>⚠ MISSING!</v>
      </c>
      <c r="AB74" s="22" t="str">
        <f>IFERROR(IF(COUNTIF('3. Farm Unit'!A:A,A74)&gt;0,"✓ Present","⚠ MISSING!")," ")</f>
        <v>⚠ MISSING!</v>
      </c>
    </row>
    <row r="75" spans="1:28"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2" t="str">
        <f>IFERROR(IF(COUNTIF('2. Certified Crop'!A:A,A75)&gt;0,"✓ Present","⚠ MISSING!")," ")</f>
        <v>⚠ MISSING!</v>
      </c>
      <c r="AB75" s="22" t="str">
        <f>IFERROR(IF(COUNTIF('3. Farm Unit'!A:A,A75)&gt;0,"✓ Present","⚠ MISSING!")," ")</f>
        <v>⚠ MISSING!</v>
      </c>
    </row>
    <row r="76" spans="1:28"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2" t="str">
        <f>IFERROR(IF(COUNTIF('2. Certified Crop'!A:A,A76)&gt;0,"✓ Present","⚠ MISSING!")," ")</f>
        <v>⚠ MISSING!</v>
      </c>
      <c r="AB76" s="22" t="str">
        <f>IFERROR(IF(COUNTIF('3. Farm Unit'!A:A,A76)&gt;0,"✓ Present","⚠ MISSING!")," ")</f>
        <v>⚠ MISSING!</v>
      </c>
    </row>
    <row r="77" spans="1:28"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2" t="str">
        <f>IFERROR(IF(COUNTIF('2. Certified Crop'!A:A,A77)&gt;0,"✓ Present","⚠ MISSING!")," ")</f>
        <v>⚠ MISSING!</v>
      </c>
      <c r="AB77" s="22" t="str">
        <f>IFERROR(IF(COUNTIF('3. Farm Unit'!A:A,A77)&gt;0,"✓ Present","⚠ MISSING!")," ")</f>
        <v>⚠ MISSING!</v>
      </c>
    </row>
    <row r="78" spans="1:2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2" t="str">
        <f>IFERROR(IF(COUNTIF('2. Certified Crop'!A:A,A78)&gt;0,"✓ Present","⚠ MISSING!")," ")</f>
        <v>⚠ MISSING!</v>
      </c>
      <c r="AB78" s="22" t="str">
        <f>IFERROR(IF(COUNTIF('3. Farm Unit'!A:A,A78)&gt;0,"✓ Present","⚠ MISSING!")," ")</f>
        <v>⚠ MISSING!</v>
      </c>
    </row>
    <row r="79" spans="1:28"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2" t="str">
        <f>IFERROR(IF(COUNTIF('2. Certified Crop'!A:A,A79)&gt;0,"✓ Present","⚠ MISSING!")," ")</f>
        <v>⚠ MISSING!</v>
      </c>
      <c r="AB79" s="22" t="str">
        <f>IFERROR(IF(COUNTIF('3. Farm Unit'!A:A,A79)&gt;0,"✓ Present","⚠ MISSING!")," ")</f>
        <v>⚠ MISSING!</v>
      </c>
    </row>
    <row r="80" spans="1:28"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2" t="str">
        <f>IFERROR(IF(COUNTIF('2. Certified Crop'!A:A,A80)&gt;0,"✓ Present","⚠ MISSING!")," ")</f>
        <v>⚠ MISSING!</v>
      </c>
      <c r="AB80" s="22" t="str">
        <f>IFERROR(IF(COUNTIF('3. Farm Unit'!A:A,A80)&gt;0,"✓ Present","⚠ MISSING!")," ")</f>
        <v>⚠ MISSING!</v>
      </c>
    </row>
    <row r="81" spans="1:28"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2" t="str">
        <f>IFERROR(IF(COUNTIF('2. Certified Crop'!A:A,A81)&gt;0,"✓ Present","⚠ MISSING!")," ")</f>
        <v>⚠ MISSING!</v>
      </c>
      <c r="AB81" s="22" t="str">
        <f>IFERROR(IF(COUNTIF('3. Farm Unit'!A:A,A81)&gt;0,"✓ Present","⚠ MISSING!")," ")</f>
        <v>⚠ MISSING!</v>
      </c>
    </row>
    <row r="82" spans="1:28"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2" t="str">
        <f>IFERROR(IF(COUNTIF('2. Certified Crop'!A:A,A82)&gt;0,"✓ Present","⚠ MISSING!")," ")</f>
        <v>⚠ MISSING!</v>
      </c>
      <c r="AB82" s="22" t="str">
        <f>IFERROR(IF(COUNTIF('3. Farm Unit'!A:A,A82)&gt;0,"✓ Present","⚠ MISSING!")," ")</f>
        <v>⚠ MISSING!</v>
      </c>
    </row>
    <row r="83" spans="1:28"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2" t="str">
        <f>IFERROR(IF(COUNTIF('2. Certified Crop'!A:A,A83)&gt;0,"✓ Present","⚠ MISSING!")," ")</f>
        <v>⚠ MISSING!</v>
      </c>
      <c r="AB83" s="22" t="str">
        <f>IFERROR(IF(COUNTIF('3. Farm Unit'!A:A,A83)&gt;0,"✓ Present","⚠ MISSING!")," ")</f>
        <v>⚠ MISSING!</v>
      </c>
    </row>
    <row r="84" spans="1:28"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2" t="str">
        <f>IFERROR(IF(COUNTIF('2. Certified Crop'!A:A,A84)&gt;0,"✓ Present","⚠ MISSING!")," ")</f>
        <v>⚠ MISSING!</v>
      </c>
      <c r="AB84" s="22" t="str">
        <f>IFERROR(IF(COUNTIF('3. Farm Unit'!A:A,A84)&gt;0,"✓ Present","⚠ MISSING!")," ")</f>
        <v>⚠ MISSING!</v>
      </c>
    </row>
    <row r="85" spans="1:28"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2" t="str">
        <f>IFERROR(IF(COUNTIF('2. Certified Crop'!A:A,A85)&gt;0,"✓ Present","⚠ MISSING!")," ")</f>
        <v>⚠ MISSING!</v>
      </c>
      <c r="AB85" s="22" t="str">
        <f>IFERROR(IF(COUNTIF('3. Farm Unit'!A:A,A85)&gt;0,"✓ Present","⚠ MISSING!")," ")</f>
        <v>⚠ MISSING!</v>
      </c>
    </row>
    <row r="86" spans="1:28"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2" t="str">
        <f>IFERROR(IF(COUNTIF('2. Certified Crop'!A:A,A86)&gt;0,"✓ Present","⚠ MISSING!")," ")</f>
        <v>⚠ MISSING!</v>
      </c>
      <c r="AB86" s="22" t="str">
        <f>IFERROR(IF(COUNTIF('3. Farm Unit'!A:A,A86)&gt;0,"✓ Present","⚠ MISSING!")," ")</f>
        <v>⚠ MISSING!</v>
      </c>
    </row>
    <row r="87" spans="1:28"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2" t="str">
        <f>IFERROR(IF(COUNTIF('2. Certified Crop'!A:A,A87)&gt;0,"✓ Present","⚠ MISSING!")," ")</f>
        <v>⚠ MISSING!</v>
      </c>
      <c r="AB87" s="22" t="str">
        <f>IFERROR(IF(COUNTIF('3. Farm Unit'!A:A,A87)&gt;0,"✓ Present","⚠ MISSING!")," ")</f>
        <v>⚠ MISSING!</v>
      </c>
    </row>
    <row r="88" spans="1:2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2" t="str">
        <f>IFERROR(IF(COUNTIF('2. Certified Crop'!A:A,A88)&gt;0,"✓ Present","⚠ MISSING!")," ")</f>
        <v>⚠ MISSING!</v>
      </c>
      <c r="AB88" s="22" t="str">
        <f>IFERROR(IF(COUNTIF('3. Farm Unit'!A:A,A88)&gt;0,"✓ Present","⚠ MISSING!")," ")</f>
        <v>⚠ MISSING!</v>
      </c>
    </row>
    <row r="89" spans="1:28"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2" t="str">
        <f>IFERROR(IF(COUNTIF('2. Certified Crop'!A:A,A89)&gt;0,"✓ Present","⚠ MISSING!")," ")</f>
        <v>⚠ MISSING!</v>
      </c>
      <c r="AB89" s="22" t="str">
        <f>IFERROR(IF(COUNTIF('3. Farm Unit'!A:A,A89)&gt;0,"✓ Present","⚠ MISSING!")," ")</f>
        <v>⚠ MISSING!</v>
      </c>
    </row>
    <row r="90" spans="1:28"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2" t="str">
        <f>IFERROR(IF(COUNTIF('2. Certified Crop'!A:A,A90)&gt;0,"✓ Present","⚠ MISSING!")," ")</f>
        <v>⚠ MISSING!</v>
      </c>
      <c r="AB90" s="22" t="str">
        <f>IFERROR(IF(COUNTIF('3. Farm Unit'!A:A,A90)&gt;0,"✓ Present","⚠ MISSING!")," ")</f>
        <v>⚠ MISSING!</v>
      </c>
    </row>
    <row r="91" spans="1:28"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2" t="str">
        <f>IFERROR(IF(COUNTIF('2. Certified Crop'!A:A,A91)&gt;0,"✓ Present","⚠ MISSING!")," ")</f>
        <v>⚠ MISSING!</v>
      </c>
      <c r="AB91" s="22" t="str">
        <f>IFERROR(IF(COUNTIF('3. Farm Unit'!A:A,A91)&gt;0,"✓ Present","⚠ MISSING!")," ")</f>
        <v>⚠ MISSING!</v>
      </c>
    </row>
    <row r="92" spans="1:28"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2" t="str">
        <f>IFERROR(IF(COUNTIF('2. Certified Crop'!A:A,A92)&gt;0,"✓ Present","⚠ MISSING!")," ")</f>
        <v>⚠ MISSING!</v>
      </c>
      <c r="AB92" s="22" t="str">
        <f>IFERROR(IF(COUNTIF('3. Farm Unit'!A:A,A92)&gt;0,"✓ Present","⚠ MISSING!")," ")</f>
        <v>⚠ MISSING!</v>
      </c>
    </row>
    <row r="93" spans="1:28"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2" t="str">
        <f>IFERROR(IF(COUNTIF('2. Certified Crop'!A:A,A93)&gt;0,"✓ Present","⚠ MISSING!")," ")</f>
        <v>⚠ MISSING!</v>
      </c>
      <c r="AB93" s="22" t="str">
        <f>IFERROR(IF(COUNTIF('3. Farm Unit'!A:A,A93)&gt;0,"✓ Present","⚠ MISSING!")," ")</f>
        <v>⚠ MISSING!</v>
      </c>
    </row>
    <row r="94" spans="1:28"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2" t="str">
        <f>IFERROR(IF(COUNTIF('2. Certified Crop'!A:A,A94)&gt;0,"✓ Present","⚠ MISSING!")," ")</f>
        <v>⚠ MISSING!</v>
      </c>
      <c r="AB94" s="22" t="str">
        <f>IFERROR(IF(COUNTIF('3. Farm Unit'!A:A,A94)&gt;0,"✓ Present","⚠ MISSING!")," ")</f>
        <v>⚠ MISSING!</v>
      </c>
    </row>
    <row r="95" spans="1:28"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2" t="str">
        <f>IFERROR(IF(COUNTIF('2. Certified Crop'!A:A,A95)&gt;0,"✓ Present","⚠ MISSING!")," ")</f>
        <v>⚠ MISSING!</v>
      </c>
      <c r="AB95" s="22" t="str">
        <f>IFERROR(IF(COUNTIF('3. Farm Unit'!A:A,A95)&gt;0,"✓ Present","⚠ MISSING!")," ")</f>
        <v>⚠ MISSING!</v>
      </c>
    </row>
    <row r="96" spans="1:28"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2" t="str">
        <f>IFERROR(IF(COUNTIF('2. Certified Crop'!A:A,A96)&gt;0,"✓ Present","⚠ MISSING!")," ")</f>
        <v>⚠ MISSING!</v>
      </c>
      <c r="AB96" s="22" t="str">
        <f>IFERROR(IF(COUNTIF('3. Farm Unit'!A:A,A96)&gt;0,"✓ Present","⚠ MISSING!")," ")</f>
        <v>⚠ MISSING!</v>
      </c>
    </row>
    <row r="97" spans="1:28"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2" t="str">
        <f>IFERROR(IF(COUNTIF('2. Certified Crop'!A:A,A97)&gt;0,"✓ Present","⚠ MISSING!")," ")</f>
        <v>⚠ MISSING!</v>
      </c>
      <c r="AB97" s="22" t="str">
        <f>IFERROR(IF(COUNTIF('3. Farm Unit'!A:A,A97)&gt;0,"✓ Present","⚠ MISSING!")," ")</f>
        <v>⚠ MISSING!</v>
      </c>
    </row>
    <row r="98" spans="1:2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2" t="str">
        <f>IFERROR(IF(COUNTIF('2. Certified Crop'!A:A,A98)&gt;0,"✓ Present","⚠ MISSING!")," ")</f>
        <v>⚠ MISSING!</v>
      </c>
      <c r="AB98" s="22" t="str">
        <f>IFERROR(IF(COUNTIF('3. Farm Unit'!A:A,A98)&gt;0,"✓ Present","⚠ MISSING!")," ")</f>
        <v>⚠ MISSING!</v>
      </c>
    </row>
    <row r="99" spans="1:28"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2" t="str">
        <f>IFERROR(IF(COUNTIF('2. Certified Crop'!A:A,A99)&gt;0,"✓ Present","⚠ MISSING!")," ")</f>
        <v>⚠ MISSING!</v>
      </c>
      <c r="AB99" s="22" t="str">
        <f>IFERROR(IF(COUNTIF('3. Farm Unit'!A:A,A99)&gt;0,"✓ Present","⚠ MISSING!")," ")</f>
        <v>⚠ MISSING!</v>
      </c>
    </row>
    <row r="100" spans="1:28"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2" t="str">
        <f>IFERROR(IF(COUNTIF('2. Certified Crop'!A:A,A100)&gt;0,"✓ Present","⚠ MISSING!")," ")</f>
        <v>⚠ MISSING!</v>
      </c>
      <c r="AB100" s="22" t="str">
        <f>IFERROR(IF(COUNTIF('3. Farm Unit'!A:A,A100)&gt;0,"✓ Present","⚠ MISSING!")," ")</f>
        <v>⚠ MISSING!</v>
      </c>
    </row>
    <row r="101" spans="1:28"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2" t="str">
        <f>IFERROR(IF(COUNTIF('2. Certified Crop'!A:A,A101)&gt;0,"✓ Present","⚠ MISSING!")," ")</f>
        <v>⚠ MISSING!</v>
      </c>
      <c r="AB101" s="22" t="str">
        <f>IFERROR(IF(COUNTIF('3. Farm Unit'!A:A,A101)&gt;0,"✓ Present","⚠ MISSING!")," ")</f>
        <v>⚠ MISSING!</v>
      </c>
    </row>
    <row r="102" spans="1:28"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2" t="str">
        <f>IFERROR(IF(COUNTIF('2. Certified Crop'!A:A,A102)&gt;0,"✓ Present","⚠ MISSING!")," ")</f>
        <v>⚠ MISSING!</v>
      </c>
      <c r="AB102" s="22" t="str">
        <f>IFERROR(IF(COUNTIF('3. Farm Unit'!A:A,A102)&gt;0,"✓ Present","⚠ MISSING!")," ")</f>
        <v>⚠ MISSING!</v>
      </c>
    </row>
    <row r="103" spans="1:28"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2" t="str">
        <f>IFERROR(IF(COUNTIF('2. Certified Crop'!A:A,A103)&gt;0,"✓ Present","⚠ MISSING!")," ")</f>
        <v>⚠ MISSING!</v>
      </c>
      <c r="AB103" s="22" t="str">
        <f>IFERROR(IF(COUNTIF('3. Farm Unit'!A:A,A103)&gt;0,"✓ Present","⚠ MISSING!")," ")</f>
        <v>⚠ MISSING!</v>
      </c>
    </row>
    <row r="104" spans="1:28"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2" t="str">
        <f>IFERROR(IF(COUNTIF('2. Certified Crop'!A:A,A104)&gt;0,"✓ Present","⚠ MISSING!")," ")</f>
        <v>⚠ MISSING!</v>
      </c>
      <c r="AB104" s="22" t="str">
        <f>IFERROR(IF(COUNTIF('3. Farm Unit'!A:A,A104)&gt;0,"✓ Present","⚠ MISSING!")," ")</f>
        <v>⚠ MISSING!</v>
      </c>
    </row>
  </sheetData>
  <mergeCells count="7">
    <mergeCell ref="A1:AB1"/>
    <mergeCell ref="A2:I2"/>
    <mergeCell ref="J2:O2"/>
    <mergeCell ref="P2:T2"/>
    <mergeCell ref="U2:V2"/>
    <mergeCell ref="W2:Z2"/>
    <mergeCell ref="AA2:AB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4"/>
  <sheetViews>
    <sheetView showGridLines="0" zoomScaleNormal="100" workbookViewId="0">
      <pane ySplit="4" topLeftCell="A5" activePane="bottomLeft" state="frozen"/>
      <selection pane="bottomLeft" activeCell="I4" sqref="I4"/>
    </sheetView>
  </sheetViews>
  <sheetFormatPr defaultColWidth="8.7109375" defaultRowHeight="14.25"/>
  <cols>
    <col min="1" max="1" width="18" customWidth="1"/>
    <col min="2" max="2" width="12" customWidth="1"/>
    <col min="3" max="3" width="14" customWidth="1"/>
    <col min="4" max="4" width="12" customWidth="1"/>
    <col min="5" max="7" width="16" customWidth="1"/>
    <col min="8" max="8" width="13" customWidth="1"/>
    <col min="9" max="10" width="12" customWidth="1"/>
    <col min="11" max="12" width="13" customWidth="1"/>
    <col min="13" max="13" width="10" customWidth="1"/>
    <col min="14" max="16" width="12" customWidth="1"/>
    <col min="17" max="17" width="20" customWidth="1"/>
  </cols>
  <sheetData>
    <row r="1" spans="1:17" ht="24" customHeight="1">
      <c r="A1" s="43" t="s">
        <v>236</v>
      </c>
      <c r="B1" s="43"/>
      <c r="C1" s="43"/>
      <c r="D1" s="43"/>
      <c r="E1" s="43"/>
      <c r="F1" s="43"/>
      <c r="G1" s="43"/>
      <c r="H1" s="43"/>
      <c r="I1" s="43"/>
      <c r="J1" s="43"/>
      <c r="K1" s="43"/>
      <c r="L1" s="43"/>
      <c r="M1" s="43"/>
      <c r="N1" s="43"/>
      <c r="O1" s="43"/>
      <c r="P1" s="43"/>
      <c r="Q1" s="43"/>
    </row>
    <row r="2" spans="1:17" ht="21.75" customHeight="1">
      <c r="A2" s="45" t="s">
        <v>237</v>
      </c>
      <c r="B2" s="45"/>
      <c r="C2" s="45"/>
      <c r="D2" s="45"/>
      <c r="E2" s="45"/>
      <c r="F2" s="45"/>
      <c r="G2" s="45"/>
      <c r="H2" s="48" t="s">
        <v>238</v>
      </c>
      <c r="I2" s="48"/>
      <c r="J2" s="48"/>
      <c r="K2" s="48"/>
      <c r="L2" s="48"/>
      <c r="M2" s="48"/>
      <c r="N2" s="48"/>
      <c r="O2" s="48"/>
      <c r="P2" s="48"/>
      <c r="Q2" s="48"/>
    </row>
    <row r="3" spans="1:17" ht="51.75" customHeight="1">
      <c r="A3" s="17" t="s">
        <v>181</v>
      </c>
      <c r="B3" s="18" t="s">
        <v>239</v>
      </c>
      <c r="C3" s="18" t="s">
        <v>240</v>
      </c>
      <c r="D3" s="18" t="s">
        <v>241</v>
      </c>
      <c r="E3" s="18" t="s">
        <v>242</v>
      </c>
      <c r="F3" s="18" t="s">
        <v>243</v>
      </c>
      <c r="G3" s="18" t="s">
        <v>244</v>
      </c>
      <c r="H3" s="24" t="s">
        <v>245</v>
      </c>
      <c r="I3" s="24" t="s">
        <v>246</v>
      </c>
      <c r="J3" s="24" t="s">
        <v>247</v>
      </c>
      <c r="K3" s="24" t="s">
        <v>248</v>
      </c>
      <c r="L3" s="24" t="s">
        <v>249</v>
      </c>
      <c r="M3" s="24" t="s">
        <v>250</v>
      </c>
      <c r="N3" s="24" t="s">
        <v>251</v>
      </c>
      <c r="O3" s="24" t="s">
        <v>252</v>
      </c>
      <c r="P3" s="24" t="s">
        <v>253</v>
      </c>
      <c r="Q3" s="25" t="s">
        <v>254</v>
      </c>
    </row>
    <row r="4" spans="1:17" ht="31.5" customHeight="1">
      <c r="A4" s="20" t="s">
        <v>209</v>
      </c>
      <c r="B4" s="20" t="s">
        <v>255</v>
      </c>
      <c r="C4" s="20" t="s">
        <v>256</v>
      </c>
      <c r="D4" s="20" t="s">
        <v>257</v>
      </c>
      <c r="E4" s="20" t="s">
        <v>258</v>
      </c>
      <c r="F4" s="20" t="s">
        <v>259</v>
      </c>
      <c r="G4" s="20" t="s">
        <v>260</v>
      </c>
      <c r="H4" s="20" t="s">
        <v>261</v>
      </c>
      <c r="I4" s="20" t="s">
        <v>261</v>
      </c>
      <c r="J4" s="20" t="s">
        <v>261</v>
      </c>
      <c r="K4" s="20" t="s">
        <v>261</v>
      </c>
      <c r="L4" s="20" t="s">
        <v>261</v>
      </c>
      <c r="M4" s="20" t="s">
        <v>261</v>
      </c>
      <c r="N4" s="20" t="s">
        <v>261</v>
      </c>
      <c r="O4" s="20" t="s">
        <v>261</v>
      </c>
      <c r="P4" s="20" t="s">
        <v>261</v>
      </c>
      <c r="Q4" s="20" t="s">
        <v>262</v>
      </c>
    </row>
    <row r="5" spans="1:17" ht="15.75" customHeight="1">
      <c r="A5" s="21"/>
      <c r="B5" s="21"/>
      <c r="C5" s="21"/>
      <c r="D5" s="21"/>
      <c r="E5" s="21"/>
      <c r="F5" s="21"/>
      <c r="G5" s="21"/>
      <c r="H5" s="22" t="str">
        <f>IFERROR(IF(COUNTIF('1. Farm Information'!A:A,A5)&gt;0,"✓","⚠ MISSING!")," ")</f>
        <v>⚠ MISSING!</v>
      </c>
      <c r="I5" s="26" t="str">
        <f t="shared" ref="I5:I36" si="0">IFERROR(IF(G5&gt;F5,"⚠ Vol&gt;Harvest","OK")," ")</f>
        <v>OK</v>
      </c>
      <c r="J5" s="27" t="str">
        <f t="shared" ref="J5:J36" si="1">IFERROR(IF(AND(ISNUMBER(E5),ISNUMBER(F5),F5&lt;&gt;0),(E5-F5)/F5,"—")," ")</f>
        <v>—</v>
      </c>
      <c r="K5" s="28" t="str">
        <f t="shared" ref="K5:K36" si="2">IFERROR(IF(AND(ISNUMBER(E5),ISNUMBER(D5),D5&lt;&gt;0),E5/D5,"—")," ")</f>
        <v>—</v>
      </c>
      <c r="L5" s="28" t="str">
        <f t="shared" ref="L5:L36" si="3">IFERROR(IF(AND(ISNUMBER(F5),ISNUMBER(D5),D5&lt;&gt;0),F5/D5,"—")," ")</f>
        <v>—</v>
      </c>
      <c r="M5" s="27" t="str">
        <f t="shared" ref="M5:M36" si="4">IFERROR(IF(AND(ISNUMBER(G5),ISNUMBER(F5),F5&lt;&gt;0),G5/F5,"—")," ")</f>
        <v>—</v>
      </c>
      <c r="N5" s="29" t="str">
        <f t="shared" ref="N5:N36" si="5">IFERROR(IF(ISNUMBER(E5),E5/64,"—")," ")</f>
        <v>—</v>
      </c>
      <c r="O5" s="29" t="str">
        <f t="shared" ref="O5:O36" si="6">IFERROR(IF(ISNUMBER(F5),F5/64,"—")," ")</f>
        <v>—</v>
      </c>
      <c r="P5" s="29" t="str">
        <f t="shared" ref="P5:P36" si="7">IFERROR(IF(ISNUMBER(G5),G5/64,"—")," ")</f>
        <v>—</v>
      </c>
      <c r="Q5" s="30"/>
    </row>
    <row r="6" spans="1:17" ht="15.75" customHeight="1">
      <c r="A6" s="23"/>
      <c r="B6" s="23"/>
      <c r="C6" s="23"/>
      <c r="D6" s="23"/>
      <c r="E6" s="23"/>
      <c r="F6" s="23"/>
      <c r="G6" s="23"/>
      <c r="H6" s="22" t="str">
        <f>IFERROR(IF(COUNTIF('1. Farm Information'!A:A,A6)&gt;0,"✓","⚠ MISSING!")," ")</f>
        <v>⚠ MISSING!</v>
      </c>
      <c r="I6" s="26" t="str">
        <f t="shared" si="0"/>
        <v>OK</v>
      </c>
      <c r="J6" s="27" t="str">
        <f t="shared" si="1"/>
        <v>—</v>
      </c>
      <c r="K6" s="28" t="str">
        <f t="shared" si="2"/>
        <v>—</v>
      </c>
      <c r="L6" s="28" t="str">
        <f t="shared" si="3"/>
        <v>—</v>
      </c>
      <c r="M6" s="27" t="str">
        <f t="shared" si="4"/>
        <v>—</v>
      </c>
      <c r="N6" s="29" t="str">
        <f t="shared" si="5"/>
        <v>—</v>
      </c>
      <c r="O6" s="29" t="str">
        <f t="shared" si="6"/>
        <v>—</v>
      </c>
      <c r="P6" s="29" t="str">
        <f t="shared" si="7"/>
        <v>—</v>
      </c>
      <c r="Q6" s="31"/>
    </row>
    <row r="7" spans="1:17" ht="15.75" customHeight="1">
      <c r="A7" s="21"/>
      <c r="B7" s="21"/>
      <c r="C7" s="21"/>
      <c r="D7" s="21"/>
      <c r="E7" s="21"/>
      <c r="F7" s="21"/>
      <c r="G7" s="21"/>
      <c r="H7" s="22" t="str">
        <f>IFERROR(IF(COUNTIF('1. Farm Information'!A:A,A7)&gt;0,"✓","⚠ MISSING!")," ")</f>
        <v>⚠ MISSING!</v>
      </c>
      <c r="I7" s="26" t="str">
        <f t="shared" si="0"/>
        <v>OK</v>
      </c>
      <c r="J7" s="27" t="str">
        <f t="shared" si="1"/>
        <v>—</v>
      </c>
      <c r="K7" s="28" t="str">
        <f t="shared" si="2"/>
        <v>—</v>
      </c>
      <c r="L7" s="28" t="str">
        <f t="shared" si="3"/>
        <v>—</v>
      </c>
      <c r="M7" s="27" t="str">
        <f t="shared" si="4"/>
        <v>—</v>
      </c>
      <c r="N7" s="29" t="str">
        <f t="shared" si="5"/>
        <v>—</v>
      </c>
      <c r="O7" s="29" t="str">
        <f t="shared" si="6"/>
        <v>—</v>
      </c>
      <c r="P7" s="29" t="str">
        <f t="shared" si="7"/>
        <v>—</v>
      </c>
      <c r="Q7" s="30"/>
    </row>
    <row r="8" spans="1:17" ht="15.75" customHeight="1">
      <c r="A8" s="23"/>
      <c r="B8" s="23"/>
      <c r="C8" s="23"/>
      <c r="D8" s="23"/>
      <c r="E8" s="23"/>
      <c r="F8" s="23"/>
      <c r="G8" s="23"/>
      <c r="H8" s="22" t="str">
        <f>IFERROR(IF(COUNTIF('1. Farm Information'!A:A,A8)&gt;0,"✓","⚠ MISSING!")," ")</f>
        <v>⚠ MISSING!</v>
      </c>
      <c r="I8" s="26" t="str">
        <f t="shared" si="0"/>
        <v>OK</v>
      </c>
      <c r="J8" s="27" t="str">
        <f t="shared" si="1"/>
        <v>—</v>
      </c>
      <c r="K8" s="28" t="str">
        <f t="shared" si="2"/>
        <v>—</v>
      </c>
      <c r="L8" s="28" t="str">
        <f t="shared" si="3"/>
        <v>—</v>
      </c>
      <c r="M8" s="27" t="str">
        <f t="shared" si="4"/>
        <v>—</v>
      </c>
      <c r="N8" s="29" t="str">
        <f t="shared" si="5"/>
        <v>—</v>
      </c>
      <c r="O8" s="29" t="str">
        <f t="shared" si="6"/>
        <v>—</v>
      </c>
      <c r="P8" s="29" t="str">
        <f t="shared" si="7"/>
        <v>—</v>
      </c>
      <c r="Q8" s="31"/>
    </row>
    <row r="9" spans="1:17" ht="15.75" customHeight="1">
      <c r="A9" s="21"/>
      <c r="B9" s="21"/>
      <c r="C9" s="21"/>
      <c r="D9" s="21"/>
      <c r="E9" s="21"/>
      <c r="F9" s="21"/>
      <c r="G9" s="21"/>
      <c r="H9" s="22" t="str">
        <f>IFERROR(IF(COUNTIF('1. Farm Information'!A:A,A9)&gt;0,"✓","⚠ MISSING!")," ")</f>
        <v>⚠ MISSING!</v>
      </c>
      <c r="I9" s="26" t="str">
        <f t="shared" si="0"/>
        <v>OK</v>
      </c>
      <c r="J9" s="27" t="str">
        <f t="shared" si="1"/>
        <v>—</v>
      </c>
      <c r="K9" s="28" t="str">
        <f t="shared" si="2"/>
        <v>—</v>
      </c>
      <c r="L9" s="28" t="str">
        <f t="shared" si="3"/>
        <v>—</v>
      </c>
      <c r="M9" s="27" t="str">
        <f t="shared" si="4"/>
        <v>—</v>
      </c>
      <c r="N9" s="29" t="str">
        <f t="shared" si="5"/>
        <v>—</v>
      </c>
      <c r="O9" s="29" t="str">
        <f t="shared" si="6"/>
        <v>—</v>
      </c>
      <c r="P9" s="29" t="str">
        <f t="shared" si="7"/>
        <v>—</v>
      </c>
      <c r="Q9" s="30"/>
    </row>
    <row r="10" spans="1:17" ht="15.75" customHeight="1">
      <c r="A10" s="23"/>
      <c r="B10" s="23"/>
      <c r="C10" s="23"/>
      <c r="D10" s="23"/>
      <c r="E10" s="23"/>
      <c r="F10" s="23"/>
      <c r="G10" s="23"/>
      <c r="H10" s="22" t="str">
        <f>IFERROR(IF(COUNTIF('1. Farm Information'!A:A,A10)&gt;0,"✓","⚠ MISSING!")," ")</f>
        <v>⚠ MISSING!</v>
      </c>
      <c r="I10" s="26" t="str">
        <f t="shared" si="0"/>
        <v>OK</v>
      </c>
      <c r="J10" s="27" t="str">
        <f t="shared" si="1"/>
        <v>—</v>
      </c>
      <c r="K10" s="28" t="str">
        <f t="shared" si="2"/>
        <v>—</v>
      </c>
      <c r="L10" s="28" t="str">
        <f t="shared" si="3"/>
        <v>—</v>
      </c>
      <c r="M10" s="27" t="str">
        <f t="shared" si="4"/>
        <v>—</v>
      </c>
      <c r="N10" s="29" t="str">
        <f t="shared" si="5"/>
        <v>—</v>
      </c>
      <c r="O10" s="29" t="str">
        <f t="shared" si="6"/>
        <v>—</v>
      </c>
      <c r="P10" s="29" t="str">
        <f t="shared" si="7"/>
        <v>—</v>
      </c>
      <c r="Q10" s="31"/>
    </row>
    <row r="11" spans="1:17" ht="15.75" customHeight="1">
      <c r="A11" s="21"/>
      <c r="B11" s="21"/>
      <c r="C11" s="21"/>
      <c r="D11" s="21"/>
      <c r="E11" s="21"/>
      <c r="F11" s="21"/>
      <c r="G11" s="21"/>
      <c r="H11" s="22" t="str">
        <f>IFERROR(IF(COUNTIF('1. Farm Information'!A:A,A11)&gt;0,"✓","⚠ MISSING!")," ")</f>
        <v>⚠ MISSING!</v>
      </c>
      <c r="I11" s="26" t="str">
        <f t="shared" si="0"/>
        <v>OK</v>
      </c>
      <c r="J11" s="27" t="str">
        <f t="shared" si="1"/>
        <v>—</v>
      </c>
      <c r="K11" s="28" t="str">
        <f t="shared" si="2"/>
        <v>—</v>
      </c>
      <c r="L11" s="28" t="str">
        <f t="shared" si="3"/>
        <v>—</v>
      </c>
      <c r="M11" s="27" t="str">
        <f t="shared" si="4"/>
        <v>—</v>
      </c>
      <c r="N11" s="29" t="str">
        <f t="shared" si="5"/>
        <v>—</v>
      </c>
      <c r="O11" s="29" t="str">
        <f t="shared" si="6"/>
        <v>—</v>
      </c>
      <c r="P11" s="29" t="str">
        <f t="shared" si="7"/>
        <v>—</v>
      </c>
      <c r="Q11" s="30"/>
    </row>
    <row r="12" spans="1:17" ht="15.75" customHeight="1">
      <c r="A12" s="23"/>
      <c r="B12" s="23"/>
      <c r="C12" s="23"/>
      <c r="D12" s="23"/>
      <c r="E12" s="23"/>
      <c r="F12" s="23"/>
      <c r="G12" s="23"/>
      <c r="H12" s="22" t="str">
        <f>IFERROR(IF(COUNTIF('1. Farm Information'!A:A,A12)&gt;0,"✓","⚠ MISSING!")," ")</f>
        <v>⚠ MISSING!</v>
      </c>
      <c r="I12" s="26" t="str">
        <f t="shared" si="0"/>
        <v>OK</v>
      </c>
      <c r="J12" s="27" t="str">
        <f t="shared" si="1"/>
        <v>—</v>
      </c>
      <c r="K12" s="28" t="str">
        <f t="shared" si="2"/>
        <v>—</v>
      </c>
      <c r="L12" s="28" t="str">
        <f t="shared" si="3"/>
        <v>—</v>
      </c>
      <c r="M12" s="27" t="str">
        <f t="shared" si="4"/>
        <v>—</v>
      </c>
      <c r="N12" s="29" t="str">
        <f t="shared" si="5"/>
        <v>—</v>
      </c>
      <c r="O12" s="29" t="str">
        <f t="shared" si="6"/>
        <v>—</v>
      </c>
      <c r="P12" s="29" t="str">
        <f t="shared" si="7"/>
        <v>—</v>
      </c>
      <c r="Q12" s="31"/>
    </row>
    <row r="13" spans="1:17" ht="15.75" customHeight="1">
      <c r="A13" s="21"/>
      <c r="B13" s="21"/>
      <c r="C13" s="21"/>
      <c r="D13" s="21"/>
      <c r="E13" s="21"/>
      <c r="F13" s="21"/>
      <c r="G13" s="21"/>
      <c r="H13" s="22" t="str">
        <f>IFERROR(IF(COUNTIF('1. Farm Information'!A:A,A13)&gt;0,"✓","⚠ MISSING!")," ")</f>
        <v>⚠ MISSING!</v>
      </c>
      <c r="I13" s="26" t="str">
        <f t="shared" si="0"/>
        <v>OK</v>
      </c>
      <c r="J13" s="27" t="str">
        <f t="shared" si="1"/>
        <v>—</v>
      </c>
      <c r="K13" s="28" t="str">
        <f t="shared" si="2"/>
        <v>—</v>
      </c>
      <c r="L13" s="28" t="str">
        <f t="shared" si="3"/>
        <v>—</v>
      </c>
      <c r="M13" s="27" t="str">
        <f t="shared" si="4"/>
        <v>—</v>
      </c>
      <c r="N13" s="29" t="str">
        <f t="shared" si="5"/>
        <v>—</v>
      </c>
      <c r="O13" s="29" t="str">
        <f t="shared" si="6"/>
        <v>—</v>
      </c>
      <c r="P13" s="29" t="str">
        <f t="shared" si="7"/>
        <v>—</v>
      </c>
      <c r="Q13" s="30"/>
    </row>
    <row r="14" spans="1:17" ht="15.75" customHeight="1">
      <c r="A14" s="23"/>
      <c r="B14" s="23"/>
      <c r="C14" s="23"/>
      <c r="D14" s="23"/>
      <c r="E14" s="23"/>
      <c r="F14" s="23"/>
      <c r="G14" s="23"/>
      <c r="H14" s="22" t="str">
        <f>IFERROR(IF(COUNTIF('1. Farm Information'!A:A,A14)&gt;0,"✓","⚠ MISSING!")," ")</f>
        <v>⚠ MISSING!</v>
      </c>
      <c r="I14" s="26" t="str">
        <f t="shared" si="0"/>
        <v>OK</v>
      </c>
      <c r="J14" s="27" t="str">
        <f t="shared" si="1"/>
        <v>—</v>
      </c>
      <c r="K14" s="28" t="str">
        <f t="shared" si="2"/>
        <v>—</v>
      </c>
      <c r="L14" s="28" t="str">
        <f t="shared" si="3"/>
        <v>—</v>
      </c>
      <c r="M14" s="27" t="str">
        <f t="shared" si="4"/>
        <v>—</v>
      </c>
      <c r="N14" s="29" t="str">
        <f t="shared" si="5"/>
        <v>—</v>
      </c>
      <c r="O14" s="29" t="str">
        <f t="shared" si="6"/>
        <v>—</v>
      </c>
      <c r="P14" s="29" t="str">
        <f t="shared" si="7"/>
        <v>—</v>
      </c>
      <c r="Q14" s="31"/>
    </row>
    <row r="15" spans="1:17" ht="15.75" customHeight="1">
      <c r="A15" s="21"/>
      <c r="B15" s="21"/>
      <c r="C15" s="21"/>
      <c r="D15" s="21"/>
      <c r="E15" s="21"/>
      <c r="F15" s="21"/>
      <c r="G15" s="21"/>
      <c r="H15" s="22" t="str">
        <f>IFERROR(IF(COUNTIF('1. Farm Information'!A:A,A15)&gt;0,"✓","⚠ MISSING!")," ")</f>
        <v>⚠ MISSING!</v>
      </c>
      <c r="I15" s="26" t="str">
        <f t="shared" si="0"/>
        <v>OK</v>
      </c>
      <c r="J15" s="27" t="str">
        <f t="shared" si="1"/>
        <v>—</v>
      </c>
      <c r="K15" s="28" t="str">
        <f t="shared" si="2"/>
        <v>—</v>
      </c>
      <c r="L15" s="28" t="str">
        <f t="shared" si="3"/>
        <v>—</v>
      </c>
      <c r="M15" s="27" t="str">
        <f t="shared" si="4"/>
        <v>—</v>
      </c>
      <c r="N15" s="29" t="str">
        <f t="shared" si="5"/>
        <v>—</v>
      </c>
      <c r="O15" s="29" t="str">
        <f t="shared" si="6"/>
        <v>—</v>
      </c>
      <c r="P15" s="29" t="str">
        <f t="shared" si="7"/>
        <v>—</v>
      </c>
      <c r="Q15" s="30"/>
    </row>
    <row r="16" spans="1:17" ht="15.75" customHeight="1">
      <c r="A16" s="23"/>
      <c r="B16" s="23"/>
      <c r="C16" s="23"/>
      <c r="D16" s="23"/>
      <c r="E16" s="23"/>
      <c r="F16" s="23"/>
      <c r="G16" s="23"/>
      <c r="H16" s="22" t="str">
        <f>IFERROR(IF(COUNTIF('1. Farm Information'!A:A,A16)&gt;0,"✓","⚠ MISSING!")," ")</f>
        <v>⚠ MISSING!</v>
      </c>
      <c r="I16" s="26" t="str">
        <f t="shared" si="0"/>
        <v>OK</v>
      </c>
      <c r="J16" s="27" t="str">
        <f t="shared" si="1"/>
        <v>—</v>
      </c>
      <c r="K16" s="28" t="str">
        <f t="shared" si="2"/>
        <v>—</v>
      </c>
      <c r="L16" s="28" t="str">
        <f t="shared" si="3"/>
        <v>—</v>
      </c>
      <c r="M16" s="27" t="str">
        <f t="shared" si="4"/>
        <v>—</v>
      </c>
      <c r="N16" s="29" t="str">
        <f t="shared" si="5"/>
        <v>—</v>
      </c>
      <c r="O16" s="29" t="str">
        <f t="shared" si="6"/>
        <v>—</v>
      </c>
      <c r="P16" s="29" t="str">
        <f t="shared" si="7"/>
        <v>—</v>
      </c>
      <c r="Q16" s="31"/>
    </row>
    <row r="17" spans="1:17" ht="15.75" customHeight="1">
      <c r="A17" s="21"/>
      <c r="B17" s="21"/>
      <c r="C17" s="21"/>
      <c r="D17" s="21"/>
      <c r="E17" s="21"/>
      <c r="F17" s="21"/>
      <c r="G17" s="21"/>
      <c r="H17" s="22" t="str">
        <f>IFERROR(IF(COUNTIF('1. Farm Information'!A:A,A17)&gt;0,"✓","⚠ MISSING!")," ")</f>
        <v>⚠ MISSING!</v>
      </c>
      <c r="I17" s="26" t="str">
        <f t="shared" si="0"/>
        <v>OK</v>
      </c>
      <c r="J17" s="27" t="str">
        <f t="shared" si="1"/>
        <v>—</v>
      </c>
      <c r="K17" s="28" t="str">
        <f t="shared" si="2"/>
        <v>—</v>
      </c>
      <c r="L17" s="28" t="str">
        <f t="shared" si="3"/>
        <v>—</v>
      </c>
      <c r="M17" s="27" t="str">
        <f t="shared" si="4"/>
        <v>—</v>
      </c>
      <c r="N17" s="29" t="str">
        <f t="shared" si="5"/>
        <v>—</v>
      </c>
      <c r="O17" s="29" t="str">
        <f t="shared" si="6"/>
        <v>—</v>
      </c>
      <c r="P17" s="29" t="str">
        <f t="shared" si="7"/>
        <v>—</v>
      </c>
      <c r="Q17" s="30"/>
    </row>
    <row r="18" spans="1:17" ht="15.75" customHeight="1">
      <c r="A18" s="23"/>
      <c r="B18" s="23"/>
      <c r="C18" s="23"/>
      <c r="D18" s="23"/>
      <c r="E18" s="23"/>
      <c r="F18" s="23"/>
      <c r="G18" s="23"/>
      <c r="H18" s="22" t="str">
        <f>IFERROR(IF(COUNTIF('1. Farm Information'!A:A,A18)&gt;0,"✓","⚠ MISSING!")," ")</f>
        <v>⚠ MISSING!</v>
      </c>
      <c r="I18" s="26" t="str">
        <f t="shared" si="0"/>
        <v>OK</v>
      </c>
      <c r="J18" s="27" t="str">
        <f t="shared" si="1"/>
        <v>—</v>
      </c>
      <c r="K18" s="28" t="str">
        <f t="shared" si="2"/>
        <v>—</v>
      </c>
      <c r="L18" s="28" t="str">
        <f t="shared" si="3"/>
        <v>—</v>
      </c>
      <c r="M18" s="27" t="str">
        <f t="shared" si="4"/>
        <v>—</v>
      </c>
      <c r="N18" s="29" t="str">
        <f t="shared" si="5"/>
        <v>—</v>
      </c>
      <c r="O18" s="29" t="str">
        <f t="shared" si="6"/>
        <v>—</v>
      </c>
      <c r="P18" s="29" t="str">
        <f t="shared" si="7"/>
        <v>—</v>
      </c>
      <c r="Q18" s="31"/>
    </row>
    <row r="19" spans="1:17" ht="15.75" customHeight="1">
      <c r="A19" s="21"/>
      <c r="B19" s="21"/>
      <c r="C19" s="21"/>
      <c r="D19" s="21"/>
      <c r="E19" s="21"/>
      <c r="F19" s="21"/>
      <c r="G19" s="21"/>
      <c r="H19" s="22" t="str">
        <f>IFERROR(IF(COUNTIF('1. Farm Information'!A:A,A19)&gt;0,"✓","⚠ MISSING!")," ")</f>
        <v>⚠ MISSING!</v>
      </c>
      <c r="I19" s="26" t="str">
        <f t="shared" si="0"/>
        <v>OK</v>
      </c>
      <c r="J19" s="27" t="str">
        <f t="shared" si="1"/>
        <v>—</v>
      </c>
      <c r="K19" s="28" t="str">
        <f t="shared" si="2"/>
        <v>—</v>
      </c>
      <c r="L19" s="28" t="str">
        <f t="shared" si="3"/>
        <v>—</v>
      </c>
      <c r="M19" s="27" t="str">
        <f t="shared" si="4"/>
        <v>—</v>
      </c>
      <c r="N19" s="29" t="str">
        <f t="shared" si="5"/>
        <v>—</v>
      </c>
      <c r="O19" s="29" t="str">
        <f t="shared" si="6"/>
        <v>—</v>
      </c>
      <c r="P19" s="29" t="str">
        <f t="shared" si="7"/>
        <v>—</v>
      </c>
      <c r="Q19" s="30"/>
    </row>
    <row r="20" spans="1:17" ht="15.75" customHeight="1">
      <c r="A20" s="23"/>
      <c r="B20" s="23"/>
      <c r="C20" s="23"/>
      <c r="D20" s="23"/>
      <c r="E20" s="23"/>
      <c r="F20" s="23"/>
      <c r="G20" s="23"/>
      <c r="H20" s="22" t="str">
        <f>IFERROR(IF(COUNTIF('1. Farm Information'!A:A,A20)&gt;0,"✓","⚠ MISSING!")," ")</f>
        <v>⚠ MISSING!</v>
      </c>
      <c r="I20" s="26" t="str">
        <f t="shared" si="0"/>
        <v>OK</v>
      </c>
      <c r="J20" s="27" t="str">
        <f t="shared" si="1"/>
        <v>—</v>
      </c>
      <c r="K20" s="28" t="str">
        <f t="shared" si="2"/>
        <v>—</v>
      </c>
      <c r="L20" s="28" t="str">
        <f t="shared" si="3"/>
        <v>—</v>
      </c>
      <c r="M20" s="27" t="str">
        <f t="shared" si="4"/>
        <v>—</v>
      </c>
      <c r="N20" s="29" t="str">
        <f t="shared" si="5"/>
        <v>—</v>
      </c>
      <c r="O20" s="29" t="str">
        <f t="shared" si="6"/>
        <v>—</v>
      </c>
      <c r="P20" s="29" t="str">
        <f t="shared" si="7"/>
        <v>—</v>
      </c>
      <c r="Q20" s="31"/>
    </row>
    <row r="21" spans="1:17" ht="15.75" customHeight="1">
      <c r="A21" s="21"/>
      <c r="B21" s="21"/>
      <c r="C21" s="21"/>
      <c r="D21" s="21"/>
      <c r="E21" s="21"/>
      <c r="F21" s="21"/>
      <c r="G21" s="21"/>
      <c r="H21" s="22" t="str">
        <f>IFERROR(IF(COUNTIF('1. Farm Information'!A:A,A21)&gt;0,"✓","⚠ MISSING!")," ")</f>
        <v>⚠ MISSING!</v>
      </c>
      <c r="I21" s="26" t="str">
        <f t="shared" si="0"/>
        <v>OK</v>
      </c>
      <c r="J21" s="27" t="str">
        <f t="shared" si="1"/>
        <v>—</v>
      </c>
      <c r="K21" s="28" t="str">
        <f t="shared" si="2"/>
        <v>—</v>
      </c>
      <c r="L21" s="28" t="str">
        <f t="shared" si="3"/>
        <v>—</v>
      </c>
      <c r="M21" s="27" t="str">
        <f t="shared" si="4"/>
        <v>—</v>
      </c>
      <c r="N21" s="29" t="str">
        <f t="shared" si="5"/>
        <v>—</v>
      </c>
      <c r="O21" s="29" t="str">
        <f t="shared" si="6"/>
        <v>—</v>
      </c>
      <c r="P21" s="29" t="str">
        <f t="shared" si="7"/>
        <v>—</v>
      </c>
      <c r="Q21" s="30"/>
    </row>
    <row r="22" spans="1:17" ht="15.75" customHeight="1">
      <c r="A22" s="23"/>
      <c r="B22" s="23"/>
      <c r="C22" s="23"/>
      <c r="D22" s="23"/>
      <c r="E22" s="23"/>
      <c r="F22" s="23"/>
      <c r="G22" s="23"/>
      <c r="H22" s="22" t="str">
        <f>IFERROR(IF(COUNTIF('1. Farm Information'!A:A,A22)&gt;0,"✓","⚠ MISSING!")," ")</f>
        <v>⚠ MISSING!</v>
      </c>
      <c r="I22" s="26" t="str">
        <f t="shared" si="0"/>
        <v>OK</v>
      </c>
      <c r="J22" s="27" t="str">
        <f t="shared" si="1"/>
        <v>—</v>
      </c>
      <c r="K22" s="28" t="str">
        <f t="shared" si="2"/>
        <v>—</v>
      </c>
      <c r="L22" s="28" t="str">
        <f t="shared" si="3"/>
        <v>—</v>
      </c>
      <c r="M22" s="27" t="str">
        <f t="shared" si="4"/>
        <v>—</v>
      </c>
      <c r="N22" s="29" t="str">
        <f t="shared" si="5"/>
        <v>—</v>
      </c>
      <c r="O22" s="29" t="str">
        <f t="shared" si="6"/>
        <v>—</v>
      </c>
      <c r="P22" s="29" t="str">
        <f t="shared" si="7"/>
        <v>—</v>
      </c>
      <c r="Q22" s="31"/>
    </row>
    <row r="23" spans="1:17" ht="15.75" customHeight="1">
      <c r="A23" s="21"/>
      <c r="B23" s="21"/>
      <c r="C23" s="21"/>
      <c r="D23" s="21"/>
      <c r="E23" s="21"/>
      <c r="F23" s="21"/>
      <c r="G23" s="21"/>
      <c r="H23" s="22" t="str">
        <f>IFERROR(IF(COUNTIF('1. Farm Information'!A:A,A23)&gt;0,"✓","⚠ MISSING!")," ")</f>
        <v>⚠ MISSING!</v>
      </c>
      <c r="I23" s="26" t="str">
        <f t="shared" si="0"/>
        <v>OK</v>
      </c>
      <c r="J23" s="27" t="str">
        <f t="shared" si="1"/>
        <v>—</v>
      </c>
      <c r="K23" s="28" t="str">
        <f t="shared" si="2"/>
        <v>—</v>
      </c>
      <c r="L23" s="28" t="str">
        <f t="shared" si="3"/>
        <v>—</v>
      </c>
      <c r="M23" s="27" t="str">
        <f t="shared" si="4"/>
        <v>—</v>
      </c>
      <c r="N23" s="29" t="str">
        <f t="shared" si="5"/>
        <v>—</v>
      </c>
      <c r="O23" s="29" t="str">
        <f t="shared" si="6"/>
        <v>—</v>
      </c>
      <c r="P23" s="29" t="str">
        <f t="shared" si="7"/>
        <v>—</v>
      </c>
      <c r="Q23" s="30"/>
    </row>
    <row r="24" spans="1:17" ht="15.75" customHeight="1">
      <c r="A24" s="23"/>
      <c r="B24" s="23"/>
      <c r="C24" s="23"/>
      <c r="D24" s="23"/>
      <c r="E24" s="23"/>
      <c r="F24" s="23"/>
      <c r="G24" s="23"/>
      <c r="H24" s="22" t="str">
        <f>IFERROR(IF(COUNTIF('1. Farm Information'!A:A,A24)&gt;0,"✓","⚠ MISSING!")," ")</f>
        <v>⚠ MISSING!</v>
      </c>
      <c r="I24" s="26" t="str">
        <f t="shared" si="0"/>
        <v>OK</v>
      </c>
      <c r="J24" s="27" t="str">
        <f t="shared" si="1"/>
        <v>—</v>
      </c>
      <c r="K24" s="28" t="str">
        <f t="shared" si="2"/>
        <v>—</v>
      </c>
      <c r="L24" s="28" t="str">
        <f t="shared" si="3"/>
        <v>—</v>
      </c>
      <c r="M24" s="27" t="str">
        <f t="shared" si="4"/>
        <v>—</v>
      </c>
      <c r="N24" s="29" t="str">
        <f t="shared" si="5"/>
        <v>—</v>
      </c>
      <c r="O24" s="29" t="str">
        <f t="shared" si="6"/>
        <v>—</v>
      </c>
      <c r="P24" s="29" t="str">
        <f t="shared" si="7"/>
        <v>—</v>
      </c>
      <c r="Q24" s="31"/>
    </row>
    <row r="25" spans="1:17" ht="15.75" customHeight="1">
      <c r="A25" s="21"/>
      <c r="B25" s="21"/>
      <c r="C25" s="21"/>
      <c r="D25" s="21"/>
      <c r="E25" s="21"/>
      <c r="F25" s="21"/>
      <c r="G25" s="21"/>
      <c r="H25" s="22" t="str">
        <f>IFERROR(IF(COUNTIF('1. Farm Information'!A:A,A25)&gt;0,"✓","⚠ MISSING!")," ")</f>
        <v>⚠ MISSING!</v>
      </c>
      <c r="I25" s="26" t="str">
        <f t="shared" si="0"/>
        <v>OK</v>
      </c>
      <c r="J25" s="27" t="str">
        <f t="shared" si="1"/>
        <v>—</v>
      </c>
      <c r="K25" s="28" t="str">
        <f t="shared" si="2"/>
        <v>—</v>
      </c>
      <c r="L25" s="28" t="str">
        <f t="shared" si="3"/>
        <v>—</v>
      </c>
      <c r="M25" s="27" t="str">
        <f t="shared" si="4"/>
        <v>—</v>
      </c>
      <c r="N25" s="29" t="str">
        <f t="shared" si="5"/>
        <v>—</v>
      </c>
      <c r="O25" s="29" t="str">
        <f t="shared" si="6"/>
        <v>—</v>
      </c>
      <c r="P25" s="29" t="str">
        <f t="shared" si="7"/>
        <v>—</v>
      </c>
      <c r="Q25" s="30"/>
    </row>
    <row r="26" spans="1:17" ht="15.75" customHeight="1">
      <c r="A26" s="23"/>
      <c r="B26" s="23"/>
      <c r="C26" s="23"/>
      <c r="D26" s="23"/>
      <c r="E26" s="23"/>
      <c r="F26" s="23"/>
      <c r="G26" s="23"/>
      <c r="H26" s="22" t="str">
        <f>IFERROR(IF(COUNTIF('1. Farm Information'!A:A,A26)&gt;0,"✓","⚠ MISSING!")," ")</f>
        <v>⚠ MISSING!</v>
      </c>
      <c r="I26" s="26" t="str">
        <f t="shared" si="0"/>
        <v>OK</v>
      </c>
      <c r="J26" s="27" t="str">
        <f t="shared" si="1"/>
        <v>—</v>
      </c>
      <c r="K26" s="28" t="str">
        <f t="shared" si="2"/>
        <v>—</v>
      </c>
      <c r="L26" s="28" t="str">
        <f t="shared" si="3"/>
        <v>—</v>
      </c>
      <c r="M26" s="27" t="str">
        <f t="shared" si="4"/>
        <v>—</v>
      </c>
      <c r="N26" s="29" t="str">
        <f t="shared" si="5"/>
        <v>—</v>
      </c>
      <c r="O26" s="29" t="str">
        <f t="shared" si="6"/>
        <v>—</v>
      </c>
      <c r="P26" s="29" t="str">
        <f t="shared" si="7"/>
        <v>—</v>
      </c>
      <c r="Q26" s="31"/>
    </row>
    <row r="27" spans="1:17" ht="15.75" customHeight="1">
      <c r="A27" s="21"/>
      <c r="B27" s="21"/>
      <c r="C27" s="21"/>
      <c r="D27" s="21"/>
      <c r="E27" s="21"/>
      <c r="F27" s="21"/>
      <c r="G27" s="21"/>
      <c r="H27" s="22" t="str">
        <f>IFERROR(IF(COUNTIF('1. Farm Information'!A:A,A27)&gt;0,"✓","⚠ MISSING!")," ")</f>
        <v>⚠ MISSING!</v>
      </c>
      <c r="I27" s="26" t="str">
        <f t="shared" si="0"/>
        <v>OK</v>
      </c>
      <c r="J27" s="27" t="str">
        <f t="shared" si="1"/>
        <v>—</v>
      </c>
      <c r="K27" s="28" t="str">
        <f t="shared" si="2"/>
        <v>—</v>
      </c>
      <c r="L27" s="28" t="str">
        <f t="shared" si="3"/>
        <v>—</v>
      </c>
      <c r="M27" s="27" t="str">
        <f t="shared" si="4"/>
        <v>—</v>
      </c>
      <c r="N27" s="29" t="str">
        <f t="shared" si="5"/>
        <v>—</v>
      </c>
      <c r="O27" s="29" t="str">
        <f t="shared" si="6"/>
        <v>—</v>
      </c>
      <c r="P27" s="29" t="str">
        <f t="shared" si="7"/>
        <v>—</v>
      </c>
      <c r="Q27" s="30"/>
    </row>
    <row r="28" spans="1:17" ht="15.75" customHeight="1">
      <c r="A28" s="23"/>
      <c r="B28" s="23"/>
      <c r="C28" s="23"/>
      <c r="D28" s="23"/>
      <c r="E28" s="23"/>
      <c r="F28" s="23"/>
      <c r="G28" s="23"/>
      <c r="H28" s="22" t="str">
        <f>IFERROR(IF(COUNTIF('1. Farm Information'!A:A,A28)&gt;0,"✓","⚠ MISSING!")," ")</f>
        <v>⚠ MISSING!</v>
      </c>
      <c r="I28" s="26" t="str">
        <f t="shared" si="0"/>
        <v>OK</v>
      </c>
      <c r="J28" s="27" t="str">
        <f t="shared" si="1"/>
        <v>—</v>
      </c>
      <c r="K28" s="28" t="str">
        <f t="shared" si="2"/>
        <v>—</v>
      </c>
      <c r="L28" s="28" t="str">
        <f t="shared" si="3"/>
        <v>—</v>
      </c>
      <c r="M28" s="27" t="str">
        <f t="shared" si="4"/>
        <v>—</v>
      </c>
      <c r="N28" s="29" t="str">
        <f t="shared" si="5"/>
        <v>—</v>
      </c>
      <c r="O28" s="29" t="str">
        <f t="shared" si="6"/>
        <v>—</v>
      </c>
      <c r="P28" s="29" t="str">
        <f t="shared" si="7"/>
        <v>—</v>
      </c>
      <c r="Q28" s="31"/>
    </row>
    <row r="29" spans="1:17" ht="15.75" customHeight="1">
      <c r="A29" s="21"/>
      <c r="B29" s="21"/>
      <c r="C29" s="21"/>
      <c r="D29" s="21"/>
      <c r="E29" s="21"/>
      <c r="F29" s="21"/>
      <c r="G29" s="21"/>
      <c r="H29" s="22" t="str">
        <f>IFERROR(IF(COUNTIF('1. Farm Information'!A:A,A29)&gt;0,"✓","⚠ MISSING!")," ")</f>
        <v>⚠ MISSING!</v>
      </c>
      <c r="I29" s="26" t="str">
        <f t="shared" si="0"/>
        <v>OK</v>
      </c>
      <c r="J29" s="27" t="str">
        <f t="shared" si="1"/>
        <v>—</v>
      </c>
      <c r="K29" s="28" t="str">
        <f t="shared" si="2"/>
        <v>—</v>
      </c>
      <c r="L29" s="28" t="str">
        <f t="shared" si="3"/>
        <v>—</v>
      </c>
      <c r="M29" s="27" t="str">
        <f t="shared" si="4"/>
        <v>—</v>
      </c>
      <c r="N29" s="29" t="str">
        <f t="shared" si="5"/>
        <v>—</v>
      </c>
      <c r="O29" s="29" t="str">
        <f t="shared" si="6"/>
        <v>—</v>
      </c>
      <c r="P29" s="29" t="str">
        <f t="shared" si="7"/>
        <v>—</v>
      </c>
      <c r="Q29" s="30"/>
    </row>
    <row r="30" spans="1:17" ht="15.75" customHeight="1">
      <c r="A30" s="23"/>
      <c r="B30" s="23"/>
      <c r="C30" s="23"/>
      <c r="D30" s="23"/>
      <c r="E30" s="23"/>
      <c r="F30" s="23"/>
      <c r="G30" s="23"/>
      <c r="H30" s="22" t="str">
        <f>IFERROR(IF(COUNTIF('1. Farm Information'!A:A,A30)&gt;0,"✓","⚠ MISSING!")," ")</f>
        <v>⚠ MISSING!</v>
      </c>
      <c r="I30" s="26" t="str">
        <f t="shared" si="0"/>
        <v>OK</v>
      </c>
      <c r="J30" s="27" t="str">
        <f t="shared" si="1"/>
        <v>—</v>
      </c>
      <c r="K30" s="28" t="str">
        <f t="shared" si="2"/>
        <v>—</v>
      </c>
      <c r="L30" s="28" t="str">
        <f t="shared" si="3"/>
        <v>—</v>
      </c>
      <c r="M30" s="27" t="str">
        <f t="shared" si="4"/>
        <v>—</v>
      </c>
      <c r="N30" s="29" t="str">
        <f t="shared" si="5"/>
        <v>—</v>
      </c>
      <c r="O30" s="29" t="str">
        <f t="shared" si="6"/>
        <v>—</v>
      </c>
      <c r="P30" s="29" t="str">
        <f t="shared" si="7"/>
        <v>—</v>
      </c>
      <c r="Q30" s="31"/>
    </row>
    <row r="31" spans="1:17" ht="15.75" customHeight="1">
      <c r="A31" s="21"/>
      <c r="B31" s="21"/>
      <c r="C31" s="21"/>
      <c r="D31" s="21"/>
      <c r="E31" s="21"/>
      <c r="F31" s="21"/>
      <c r="G31" s="21"/>
      <c r="H31" s="22" t="str">
        <f>IFERROR(IF(COUNTIF('1. Farm Information'!A:A,A31)&gt;0,"✓","⚠ MISSING!")," ")</f>
        <v>⚠ MISSING!</v>
      </c>
      <c r="I31" s="26" t="str">
        <f t="shared" si="0"/>
        <v>OK</v>
      </c>
      <c r="J31" s="27" t="str">
        <f t="shared" si="1"/>
        <v>—</v>
      </c>
      <c r="K31" s="28" t="str">
        <f t="shared" si="2"/>
        <v>—</v>
      </c>
      <c r="L31" s="28" t="str">
        <f t="shared" si="3"/>
        <v>—</v>
      </c>
      <c r="M31" s="27" t="str">
        <f t="shared" si="4"/>
        <v>—</v>
      </c>
      <c r="N31" s="29" t="str">
        <f t="shared" si="5"/>
        <v>—</v>
      </c>
      <c r="O31" s="29" t="str">
        <f t="shared" si="6"/>
        <v>—</v>
      </c>
      <c r="P31" s="29" t="str">
        <f t="shared" si="7"/>
        <v>—</v>
      </c>
      <c r="Q31" s="30"/>
    </row>
    <row r="32" spans="1:17" ht="15.75" customHeight="1">
      <c r="A32" s="23"/>
      <c r="B32" s="23"/>
      <c r="C32" s="23"/>
      <c r="D32" s="23"/>
      <c r="E32" s="23"/>
      <c r="F32" s="23"/>
      <c r="G32" s="23"/>
      <c r="H32" s="22" t="str">
        <f>IFERROR(IF(COUNTIF('1. Farm Information'!A:A,A32)&gt;0,"✓","⚠ MISSING!")," ")</f>
        <v>⚠ MISSING!</v>
      </c>
      <c r="I32" s="26" t="str">
        <f t="shared" si="0"/>
        <v>OK</v>
      </c>
      <c r="J32" s="27" t="str">
        <f t="shared" si="1"/>
        <v>—</v>
      </c>
      <c r="K32" s="28" t="str">
        <f t="shared" si="2"/>
        <v>—</v>
      </c>
      <c r="L32" s="28" t="str">
        <f t="shared" si="3"/>
        <v>—</v>
      </c>
      <c r="M32" s="27" t="str">
        <f t="shared" si="4"/>
        <v>—</v>
      </c>
      <c r="N32" s="29" t="str">
        <f t="shared" si="5"/>
        <v>—</v>
      </c>
      <c r="O32" s="29" t="str">
        <f t="shared" si="6"/>
        <v>—</v>
      </c>
      <c r="P32" s="29" t="str">
        <f t="shared" si="7"/>
        <v>—</v>
      </c>
      <c r="Q32" s="31"/>
    </row>
    <row r="33" spans="1:17" ht="15.75" customHeight="1">
      <c r="A33" s="21"/>
      <c r="B33" s="21"/>
      <c r="C33" s="21"/>
      <c r="D33" s="21"/>
      <c r="E33" s="21"/>
      <c r="F33" s="21"/>
      <c r="G33" s="21"/>
      <c r="H33" s="22" t="str">
        <f>IFERROR(IF(COUNTIF('1. Farm Information'!A:A,A33)&gt;0,"✓","⚠ MISSING!")," ")</f>
        <v>⚠ MISSING!</v>
      </c>
      <c r="I33" s="26" t="str">
        <f t="shared" si="0"/>
        <v>OK</v>
      </c>
      <c r="J33" s="27" t="str">
        <f t="shared" si="1"/>
        <v>—</v>
      </c>
      <c r="K33" s="28" t="str">
        <f t="shared" si="2"/>
        <v>—</v>
      </c>
      <c r="L33" s="28" t="str">
        <f t="shared" si="3"/>
        <v>—</v>
      </c>
      <c r="M33" s="27" t="str">
        <f t="shared" si="4"/>
        <v>—</v>
      </c>
      <c r="N33" s="29" t="str">
        <f t="shared" si="5"/>
        <v>—</v>
      </c>
      <c r="O33" s="29" t="str">
        <f t="shared" si="6"/>
        <v>—</v>
      </c>
      <c r="P33" s="29" t="str">
        <f t="shared" si="7"/>
        <v>—</v>
      </c>
      <c r="Q33" s="30"/>
    </row>
    <row r="34" spans="1:17" ht="15.75" customHeight="1">
      <c r="A34" s="23"/>
      <c r="B34" s="23"/>
      <c r="C34" s="23"/>
      <c r="D34" s="23"/>
      <c r="E34" s="23"/>
      <c r="F34" s="23"/>
      <c r="G34" s="23"/>
      <c r="H34" s="22" t="str">
        <f>IFERROR(IF(COUNTIF('1. Farm Information'!A:A,A34)&gt;0,"✓","⚠ MISSING!")," ")</f>
        <v>⚠ MISSING!</v>
      </c>
      <c r="I34" s="26" t="str">
        <f t="shared" si="0"/>
        <v>OK</v>
      </c>
      <c r="J34" s="27" t="str">
        <f t="shared" si="1"/>
        <v>—</v>
      </c>
      <c r="K34" s="28" t="str">
        <f t="shared" si="2"/>
        <v>—</v>
      </c>
      <c r="L34" s="28" t="str">
        <f t="shared" si="3"/>
        <v>—</v>
      </c>
      <c r="M34" s="27" t="str">
        <f t="shared" si="4"/>
        <v>—</v>
      </c>
      <c r="N34" s="29" t="str">
        <f t="shared" si="5"/>
        <v>—</v>
      </c>
      <c r="O34" s="29" t="str">
        <f t="shared" si="6"/>
        <v>—</v>
      </c>
      <c r="P34" s="29" t="str">
        <f t="shared" si="7"/>
        <v>—</v>
      </c>
      <c r="Q34" s="31"/>
    </row>
    <row r="35" spans="1:17" ht="15.75" customHeight="1">
      <c r="A35" s="21"/>
      <c r="B35" s="21"/>
      <c r="C35" s="21"/>
      <c r="D35" s="21"/>
      <c r="E35" s="21"/>
      <c r="F35" s="21"/>
      <c r="G35" s="21"/>
      <c r="H35" s="22" t="str">
        <f>IFERROR(IF(COUNTIF('1. Farm Information'!A:A,A35)&gt;0,"✓","⚠ MISSING!")," ")</f>
        <v>⚠ MISSING!</v>
      </c>
      <c r="I35" s="26" t="str">
        <f t="shared" si="0"/>
        <v>OK</v>
      </c>
      <c r="J35" s="27" t="str">
        <f t="shared" si="1"/>
        <v>—</v>
      </c>
      <c r="K35" s="28" t="str">
        <f t="shared" si="2"/>
        <v>—</v>
      </c>
      <c r="L35" s="28" t="str">
        <f t="shared" si="3"/>
        <v>—</v>
      </c>
      <c r="M35" s="27" t="str">
        <f t="shared" si="4"/>
        <v>—</v>
      </c>
      <c r="N35" s="29" t="str">
        <f t="shared" si="5"/>
        <v>—</v>
      </c>
      <c r="O35" s="29" t="str">
        <f t="shared" si="6"/>
        <v>—</v>
      </c>
      <c r="P35" s="29" t="str">
        <f t="shared" si="7"/>
        <v>—</v>
      </c>
      <c r="Q35" s="30"/>
    </row>
    <row r="36" spans="1:17" ht="15.75" customHeight="1">
      <c r="A36" s="23"/>
      <c r="B36" s="23"/>
      <c r="C36" s="23"/>
      <c r="D36" s="23"/>
      <c r="E36" s="23"/>
      <c r="F36" s="23"/>
      <c r="G36" s="23"/>
      <c r="H36" s="22" t="str">
        <f>IFERROR(IF(COUNTIF('1. Farm Information'!A:A,A36)&gt;0,"✓","⚠ MISSING!")," ")</f>
        <v>⚠ MISSING!</v>
      </c>
      <c r="I36" s="26" t="str">
        <f t="shared" si="0"/>
        <v>OK</v>
      </c>
      <c r="J36" s="27" t="str">
        <f t="shared" si="1"/>
        <v>—</v>
      </c>
      <c r="K36" s="28" t="str">
        <f t="shared" si="2"/>
        <v>—</v>
      </c>
      <c r="L36" s="28" t="str">
        <f t="shared" si="3"/>
        <v>—</v>
      </c>
      <c r="M36" s="27" t="str">
        <f t="shared" si="4"/>
        <v>—</v>
      </c>
      <c r="N36" s="29" t="str">
        <f t="shared" si="5"/>
        <v>—</v>
      </c>
      <c r="O36" s="29" t="str">
        <f t="shared" si="6"/>
        <v>—</v>
      </c>
      <c r="P36" s="29" t="str">
        <f t="shared" si="7"/>
        <v>—</v>
      </c>
      <c r="Q36" s="31"/>
    </row>
    <row r="37" spans="1:17" ht="15.75" customHeight="1">
      <c r="A37" s="21"/>
      <c r="B37" s="21"/>
      <c r="C37" s="21"/>
      <c r="D37" s="21"/>
      <c r="E37" s="21"/>
      <c r="F37" s="21"/>
      <c r="G37" s="21"/>
      <c r="H37" s="22" t="str">
        <f>IFERROR(IF(COUNTIF('1. Farm Information'!A:A,A37)&gt;0,"✓","⚠ MISSING!")," ")</f>
        <v>⚠ MISSING!</v>
      </c>
      <c r="I37" s="26" t="str">
        <f t="shared" ref="I37:I68" si="8">IFERROR(IF(G37&gt;F37,"⚠ Vol&gt;Harvest","OK")," ")</f>
        <v>OK</v>
      </c>
      <c r="J37" s="27" t="str">
        <f t="shared" ref="J37:J68" si="9">IFERROR(IF(AND(ISNUMBER(E37),ISNUMBER(F37),F37&lt;&gt;0),(E37-F37)/F37,"—")," ")</f>
        <v>—</v>
      </c>
      <c r="K37" s="28" t="str">
        <f t="shared" ref="K37:K68" si="10">IFERROR(IF(AND(ISNUMBER(E37),ISNUMBER(D37),D37&lt;&gt;0),E37/D37,"—")," ")</f>
        <v>—</v>
      </c>
      <c r="L37" s="28" t="str">
        <f t="shared" ref="L37:L68" si="11">IFERROR(IF(AND(ISNUMBER(F37),ISNUMBER(D37),D37&lt;&gt;0),F37/D37,"—")," ")</f>
        <v>—</v>
      </c>
      <c r="M37" s="27" t="str">
        <f t="shared" ref="M37:M68" si="12">IFERROR(IF(AND(ISNUMBER(G37),ISNUMBER(F37),F37&lt;&gt;0),G37/F37,"—")," ")</f>
        <v>—</v>
      </c>
      <c r="N37" s="29" t="str">
        <f t="shared" ref="N37:N68" si="13">IFERROR(IF(ISNUMBER(E37),E37/64,"—")," ")</f>
        <v>—</v>
      </c>
      <c r="O37" s="29" t="str">
        <f t="shared" ref="O37:O68" si="14">IFERROR(IF(ISNUMBER(F37),F37/64,"—")," ")</f>
        <v>—</v>
      </c>
      <c r="P37" s="29" t="str">
        <f t="shared" ref="P37:P68" si="15">IFERROR(IF(ISNUMBER(G37),G37/64,"—")," ")</f>
        <v>—</v>
      </c>
      <c r="Q37" s="30"/>
    </row>
    <row r="38" spans="1:17" ht="15.75" customHeight="1">
      <c r="A38" s="23"/>
      <c r="B38" s="23"/>
      <c r="C38" s="23"/>
      <c r="D38" s="23"/>
      <c r="E38" s="23"/>
      <c r="F38" s="23"/>
      <c r="G38" s="23"/>
      <c r="H38" s="22" t="str">
        <f>IFERROR(IF(COUNTIF('1. Farm Information'!A:A,A38)&gt;0,"✓","⚠ MISSING!")," ")</f>
        <v>⚠ MISSING!</v>
      </c>
      <c r="I38" s="26" t="str">
        <f t="shared" si="8"/>
        <v>OK</v>
      </c>
      <c r="J38" s="27" t="str">
        <f t="shared" si="9"/>
        <v>—</v>
      </c>
      <c r="K38" s="28" t="str">
        <f t="shared" si="10"/>
        <v>—</v>
      </c>
      <c r="L38" s="28" t="str">
        <f t="shared" si="11"/>
        <v>—</v>
      </c>
      <c r="M38" s="27" t="str">
        <f t="shared" si="12"/>
        <v>—</v>
      </c>
      <c r="N38" s="29" t="str">
        <f t="shared" si="13"/>
        <v>—</v>
      </c>
      <c r="O38" s="29" t="str">
        <f t="shared" si="14"/>
        <v>—</v>
      </c>
      <c r="P38" s="29" t="str">
        <f t="shared" si="15"/>
        <v>—</v>
      </c>
      <c r="Q38" s="31"/>
    </row>
    <row r="39" spans="1:17" ht="15.75" customHeight="1">
      <c r="A39" s="21"/>
      <c r="B39" s="21"/>
      <c r="C39" s="21"/>
      <c r="D39" s="21"/>
      <c r="E39" s="21"/>
      <c r="F39" s="21"/>
      <c r="G39" s="21"/>
      <c r="H39" s="22" t="str">
        <f>IFERROR(IF(COUNTIF('1. Farm Information'!A:A,A39)&gt;0,"✓","⚠ MISSING!")," ")</f>
        <v>⚠ MISSING!</v>
      </c>
      <c r="I39" s="26" t="str">
        <f t="shared" si="8"/>
        <v>OK</v>
      </c>
      <c r="J39" s="27" t="str">
        <f t="shared" si="9"/>
        <v>—</v>
      </c>
      <c r="K39" s="28" t="str">
        <f t="shared" si="10"/>
        <v>—</v>
      </c>
      <c r="L39" s="28" t="str">
        <f t="shared" si="11"/>
        <v>—</v>
      </c>
      <c r="M39" s="27" t="str">
        <f t="shared" si="12"/>
        <v>—</v>
      </c>
      <c r="N39" s="29" t="str">
        <f t="shared" si="13"/>
        <v>—</v>
      </c>
      <c r="O39" s="29" t="str">
        <f t="shared" si="14"/>
        <v>—</v>
      </c>
      <c r="P39" s="29" t="str">
        <f t="shared" si="15"/>
        <v>—</v>
      </c>
      <c r="Q39" s="30"/>
    </row>
    <row r="40" spans="1:17" ht="15.75" customHeight="1">
      <c r="A40" s="23"/>
      <c r="B40" s="23"/>
      <c r="C40" s="23"/>
      <c r="D40" s="23"/>
      <c r="E40" s="23"/>
      <c r="F40" s="23"/>
      <c r="G40" s="23"/>
      <c r="H40" s="22" t="str">
        <f>IFERROR(IF(COUNTIF('1. Farm Information'!A:A,A40)&gt;0,"✓","⚠ MISSING!")," ")</f>
        <v>⚠ MISSING!</v>
      </c>
      <c r="I40" s="26" t="str">
        <f t="shared" si="8"/>
        <v>OK</v>
      </c>
      <c r="J40" s="27" t="str">
        <f t="shared" si="9"/>
        <v>—</v>
      </c>
      <c r="K40" s="28" t="str">
        <f t="shared" si="10"/>
        <v>—</v>
      </c>
      <c r="L40" s="28" t="str">
        <f t="shared" si="11"/>
        <v>—</v>
      </c>
      <c r="M40" s="27" t="str">
        <f t="shared" si="12"/>
        <v>—</v>
      </c>
      <c r="N40" s="29" t="str">
        <f t="shared" si="13"/>
        <v>—</v>
      </c>
      <c r="O40" s="29" t="str">
        <f t="shared" si="14"/>
        <v>—</v>
      </c>
      <c r="P40" s="29" t="str">
        <f t="shared" si="15"/>
        <v>—</v>
      </c>
      <c r="Q40" s="31"/>
    </row>
    <row r="41" spans="1:17" ht="15.75" customHeight="1">
      <c r="A41" s="21"/>
      <c r="B41" s="21"/>
      <c r="C41" s="21"/>
      <c r="D41" s="21"/>
      <c r="E41" s="21"/>
      <c r="F41" s="21"/>
      <c r="G41" s="21"/>
      <c r="H41" s="22" t="str">
        <f>IFERROR(IF(COUNTIF('1. Farm Information'!A:A,A41)&gt;0,"✓","⚠ MISSING!")," ")</f>
        <v>⚠ MISSING!</v>
      </c>
      <c r="I41" s="26" t="str">
        <f t="shared" si="8"/>
        <v>OK</v>
      </c>
      <c r="J41" s="27" t="str">
        <f t="shared" si="9"/>
        <v>—</v>
      </c>
      <c r="K41" s="28" t="str">
        <f t="shared" si="10"/>
        <v>—</v>
      </c>
      <c r="L41" s="28" t="str">
        <f t="shared" si="11"/>
        <v>—</v>
      </c>
      <c r="M41" s="27" t="str">
        <f t="shared" si="12"/>
        <v>—</v>
      </c>
      <c r="N41" s="29" t="str">
        <f t="shared" si="13"/>
        <v>—</v>
      </c>
      <c r="O41" s="29" t="str">
        <f t="shared" si="14"/>
        <v>—</v>
      </c>
      <c r="P41" s="29" t="str">
        <f t="shared" si="15"/>
        <v>—</v>
      </c>
      <c r="Q41" s="30"/>
    </row>
    <row r="42" spans="1:17" ht="15.75" customHeight="1">
      <c r="A42" s="23"/>
      <c r="B42" s="23"/>
      <c r="C42" s="23"/>
      <c r="D42" s="23"/>
      <c r="E42" s="23"/>
      <c r="F42" s="23"/>
      <c r="G42" s="23"/>
      <c r="H42" s="22" t="str">
        <f>IFERROR(IF(COUNTIF('1. Farm Information'!A:A,A42)&gt;0,"✓","⚠ MISSING!")," ")</f>
        <v>⚠ MISSING!</v>
      </c>
      <c r="I42" s="26" t="str">
        <f t="shared" si="8"/>
        <v>OK</v>
      </c>
      <c r="J42" s="27" t="str">
        <f t="shared" si="9"/>
        <v>—</v>
      </c>
      <c r="K42" s="28" t="str">
        <f t="shared" si="10"/>
        <v>—</v>
      </c>
      <c r="L42" s="28" t="str">
        <f t="shared" si="11"/>
        <v>—</v>
      </c>
      <c r="M42" s="27" t="str">
        <f t="shared" si="12"/>
        <v>—</v>
      </c>
      <c r="N42" s="29" t="str">
        <f t="shared" si="13"/>
        <v>—</v>
      </c>
      <c r="O42" s="29" t="str">
        <f t="shared" si="14"/>
        <v>—</v>
      </c>
      <c r="P42" s="29" t="str">
        <f t="shared" si="15"/>
        <v>—</v>
      </c>
      <c r="Q42" s="31"/>
    </row>
    <row r="43" spans="1:17" ht="15.75" customHeight="1">
      <c r="A43" s="21"/>
      <c r="B43" s="21"/>
      <c r="C43" s="21"/>
      <c r="D43" s="21"/>
      <c r="E43" s="21"/>
      <c r="F43" s="21"/>
      <c r="G43" s="21"/>
      <c r="H43" s="22" t="str">
        <f>IFERROR(IF(COUNTIF('1. Farm Information'!A:A,A43)&gt;0,"✓","⚠ MISSING!")," ")</f>
        <v>⚠ MISSING!</v>
      </c>
      <c r="I43" s="26" t="str">
        <f t="shared" si="8"/>
        <v>OK</v>
      </c>
      <c r="J43" s="27" t="str">
        <f t="shared" si="9"/>
        <v>—</v>
      </c>
      <c r="K43" s="28" t="str">
        <f t="shared" si="10"/>
        <v>—</v>
      </c>
      <c r="L43" s="28" t="str">
        <f t="shared" si="11"/>
        <v>—</v>
      </c>
      <c r="M43" s="27" t="str">
        <f t="shared" si="12"/>
        <v>—</v>
      </c>
      <c r="N43" s="29" t="str">
        <f t="shared" si="13"/>
        <v>—</v>
      </c>
      <c r="O43" s="29" t="str">
        <f t="shared" si="14"/>
        <v>—</v>
      </c>
      <c r="P43" s="29" t="str">
        <f t="shared" si="15"/>
        <v>—</v>
      </c>
      <c r="Q43" s="30"/>
    </row>
    <row r="44" spans="1:17" ht="15.75" customHeight="1">
      <c r="A44" s="23"/>
      <c r="B44" s="23"/>
      <c r="C44" s="23"/>
      <c r="D44" s="23"/>
      <c r="E44" s="23"/>
      <c r="F44" s="23"/>
      <c r="G44" s="23"/>
      <c r="H44" s="22" t="str">
        <f>IFERROR(IF(COUNTIF('1. Farm Information'!A:A,A44)&gt;0,"✓","⚠ MISSING!")," ")</f>
        <v>⚠ MISSING!</v>
      </c>
      <c r="I44" s="26" t="str">
        <f t="shared" si="8"/>
        <v>OK</v>
      </c>
      <c r="J44" s="27" t="str">
        <f t="shared" si="9"/>
        <v>—</v>
      </c>
      <c r="K44" s="28" t="str">
        <f t="shared" si="10"/>
        <v>—</v>
      </c>
      <c r="L44" s="28" t="str">
        <f t="shared" si="11"/>
        <v>—</v>
      </c>
      <c r="M44" s="27" t="str">
        <f t="shared" si="12"/>
        <v>—</v>
      </c>
      <c r="N44" s="29" t="str">
        <f t="shared" si="13"/>
        <v>—</v>
      </c>
      <c r="O44" s="29" t="str">
        <f t="shared" si="14"/>
        <v>—</v>
      </c>
      <c r="P44" s="29" t="str">
        <f t="shared" si="15"/>
        <v>—</v>
      </c>
      <c r="Q44" s="31"/>
    </row>
    <row r="45" spans="1:17" ht="15.75" customHeight="1">
      <c r="A45" s="21"/>
      <c r="B45" s="21"/>
      <c r="C45" s="21"/>
      <c r="D45" s="21"/>
      <c r="E45" s="21"/>
      <c r="F45" s="21"/>
      <c r="G45" s="21"/>
      <c r="H45" s="22" t="str">
        <f>IFERROR(IF(COUNTIF('1. Farm Information'!A:A,A45)&gt;0,"✓","⚠ MISSING!")," ")</f>
        <v>⚠ MISSING!</v>
      </c>
      <c r="I45" s="26" t="str">
        <f t="shared" si="8"/>
        <v>OK</v>
      </c>
      <c r="J45" s="27" t="str">
        <f t="shared" si="9"/>
        <v>—</v>
      </c>
      <c r="K45" s="28" t="str">
        <f t="shared" si="10"/>
        <v>—</v>
      </c>
      <c r="L45" s="28" t="str">
        <f t="shared" si="11"/>
        <v>—</v>
      </c>
      <c r="M45" s="27" t="str">
        <f t="shared" si="12"/>
        <v>—</v>
      </c>
      <c r="N45" s="29" t="str">
        <f t="shared" si="13"/>
        <v>—</v>
      </c>
      <c r="O45" s="29" t="str">
        <f t="shared" si="14"/>
        <v>—</v>
      </c>
      <c r="P45" s="29" t="str">
        <f t="shared" si="15"/>
        <v>—</v>
      </c>
      <c r="Q45" s="30"/>
    </row>
    <row r="46" spans="1:17" ht="15.75" customHeight="1">
      <c r="A46" s="23"/>
      <c r="B46" s="23"/>
      <c r="C46" s="23"/>
      <c r="D46" s="23"/>
      <c r="E46" s="23"/>
      <c r="F46" s="23"/>
      <c r="G46" s="23"/>
      <c r="H46" s="22" t="str">
        <f>IFERROR(IF(COUNTIF('1. Farm Information'!A:A,A46)&gt;0,"✓","⚠ MISSING!")," ")</f>
        <v>⚠ MISSING!</v>
      </c>
      <c r="I46" s="26" t="str">
        <f t="shared" si="8"/>
        <v>OK</v>
      </c>
      <c r="J46" s="27" t="str">
        <f t="shared" si="9"/>
        <v>—</v>
      </c>
      <c r="K46" s="28" t="str">
        <f t="shared" si="10"/>
        <v>—</v>
      </c>
      <c r="L46" s="28" t="str">
        <f t="shared" si="11"/>
        <v>—</v>
      </c>
      <c r="M46" s="27" t="str">
        <f t="shared" si="12"/>
        <v>—</v>
      </c>
      <c r="N46" s="29" t="str">
        <f t="shared" si="13"/>
        <v>—</v>
      </c>
      <c r="O46" s="29" t="str">
        <f t="shared" si="14"/>
        <v>—</v>
      </c>
      <c r="P46" s="29" t="str">
        <f t="shared" si="15"/>
        <v>—</v>
      </c>
      <c r="Q46" s="31"/>
    </row>
    <row r="47" spans="1:17" ht="15.75" customHeight="1">
      <c r="A47" s="21"/>
      <c r="B47" s="21"/>
      <c r="C47" s="21"/>
      <c r="D47" s="21"/>
      <c r="E47" s="21"/>
      <c r="F47" s="21"/>
      <c r="G47" s="21"/>
      <c r="H47" s="22" t="str">
        <f>IFERROR(IF(COUNTIF('1. Farm Information'!A:A,A47)&gt;0,"✓","⚠ MISSING!")," ")</f>
        <v>⚠ MISSING!</v>
      </c>
      <c r="I47" s="26" t="str">
        <f t="shared" si="8"/>
        <v>OK</v>
      </c>
      <c r="J47" s="27" t="str">
        <f t="shared" si="9"/>
        <v>—</v>
      </c>
      <c r="K47" s="28" t="str">
        <f t="shared" si="10"/>
        <v>—</v>
      </c>
      <c r="L47" s="28" t="str">
        <f t="shared" si="11"/>
        <v>—</v>
      </c>
      <c r="M47" s="27" t="str">
        <f t="shared" si="12"/>
        <v>—</v>
      </c>
      <c r="N47" s="29" t="str">
        <f t="shared" si="13"/>
        <v>—</v>
      </c>
      <c r="O47" s="29" t="str">
        <f t="shared" si="14"/>
        <v>—</v>
      </c>
      <c r="P47" s="29" t="str">
        <f t="shared" si="15"/>
        <v>—</v>
      </c>
      <c r="Q47" s="30"/>
    </row>
    <row r="48" spans="1:17" ht="15.75" customHeight="1">
      <c r="A48" s="23"/>
      <c r="B48" s="23"/>
      <c r="C48" s="23"/>
      <c r="D48" s="23"/>
      <c r="E48" s="23"/>
      <c r="F48" s="23"/>
      <c r="G48" s="23"/>
      <c r="H48" s="22" t="str">
        <f>IFERROR(IF(COUNTIF('1. Farm Information'!A:A,A48)&gt;0,"✓","⚠ MISSING!")," ")</f>
        <v>⚠ MISSING!</v>
      </c>
      <c r="I48" s="26" t="str">
        <f t="shared" si="8"/>
        <v>OK</v>
      </c>
      <c r="J48" s="27" t="str">
        <f t="shared" si="9"/>
        <v>—</v>
      </c>
      <c r="K48" s="28" t="str">
        <f t="shared" si="10"/>
        <v>—</v>
      </c>
      <c r="L48" s="28" t="str">
        <f t="shared" si="11"/>
        <v>—</v>
      </c>
      <c r="M48" s="27" t="str">
        <f t="shared" si="12"/>
        <v>—</v>
      </c>
      <c r="N48" s="29" t="str">
        <f t="shared" si="13"/>
        <v>—</v>
      </c>
      <c r="O48" s="29" t="str">
        <f t="shared" si="14"/>
        <v>—</v>
      </c>
      <c r="P48" s="29" t="str">
        <f t="shared" si="15"/>
        <v>—</v>
      </c>
      <c r="Q48" s="31"/>
    </row>
    <row r="49" spans="1:17" ht="15.75" customHeight="1">
      <c r="A49" s="21"/>
      <c r="B49" s="21"/>
      <c r="C49" s="21"/>
      <c r="D49" s="21"/>
      <c r="E49" s="21"/>
      <c r="F49" s="21"/>
      <c r="G49" s="21"/>
      <c r="H49" s="22" t="str">
        <f>IFERROR(IF(COUNTIF('1. Farm Information'!A:A,A49)&gt;0,"✓","⚠ MISSING!")," ")</f>
        <v>⚠ MISSING!</v>
      </c>
      <c r="I49" s="26" t="str">
        <f t="shared" si="8"/>
        <v>OK</v>
      </c>
      <c r="J49" s="27" t="str">
        <f t="shared" si="9"/>
        <v>—</v>
      </c>
      <c r="K49" s="28" t="str">
        <f t="shared" si="10"/>
        <v>—</v>
      </c>
      <c r="L49" s="28" t="str">
        <f t="shared" si="11"/>
        <v>—</v>
      </c>
      <c r="M49" s="27" t="str">
        <f t="shared" si="12"/>
        <v>—</v>
      </c>
      <c r="N49" s="29" t="str">
        <f t="shared" si="13"/>
        <v>—</v>
      </c>
      <c r="O49" s="29" t="str">
        <f t="shared" si="14"/>
        <v>—</v>
      </c>
      <c r="P49" s="29" t="str">
        <f t="shared" si="15"/>
        <v>—</v>
      </c>
      <c r="Q49" s="30"/>
    </row>
    <row r="50" spans="1:17" ht="15.75" customHeight="1">
      <c r="A50" s="23"/>
      <c r="B50" s="23"/>
      <c r="C50" s="23"/>
      <c r="D50" s="23"/>
      <c r="E50" s="23"/>
      <c r="F50" s="23"/>
      <c r="G50" s="23"/>
      <c r="H50" s="22" t="str">
        <f>IFERROR(IF(COUNTIF('1. Farm Information'!A:A,A50)&gt;0,"✓","⚠ MISSING!")," ")</f>
        <v>⚠ MISSING!</v>
      </c>
      <c r="I50" s="26" t="str">
        <f t="shared" si="8"/>
        <v>OK</v>
      </c>
      <c r="J50" s="27" t="str">
        <f t="shared" si="9"/>
        <v>—</v>
      </c>
      <c r="K50" s="28" t="str">
        <f t="shared" si="10"/>
        <v>—</v>
      </c>
      <c r="L50" s="28" t="str">
        <f t="shared" si="11"/>
        <v>—</v>
      </c>
      <c r="M50" s="27" t="str">
        <f t="shared" si="12"/>
        <v>—</v>
      </c>
      <c r="N50" s="29" t="str">
        <f t="shared" si="13"/>
        <v>—</v>
      </c>
      <c r="O50" s="29" t="str">
        <f t="shared" si="14"/>
        <v>—</v>
      </c>
      <c r="P50" s="29" t="str">
        <f t="shared" si="15"/>
        <v>—</v>
      </c>
      <c r="Q50" s="31"/>
    </row>
    <row r="51" spans="1:17" ht="15.75" customHeight="1">
      <c r="A51" s="21"/>
      <c r="B51" s="21"/>
      <c r="C51" s="21"/>
      <c r="D51" s="21"/>
      <c r="E51" s="21"/>
      <c r="F51" s="21"/>
      <c r="G51" s="21"/>
      <c r="H51" s="22" t="str">
        <f>IFERROR(IF(COUNTIF('1. Farm Information'!A:A,A51)&gt;0,"✓","⚠ MISSING!")," ")</f>
        <v>⚠ MISSING!</v>
      </c>
      <c r="I51" s="26" t="str">
        <f t="shared" si="8"/>
        <v>OK</v>
      </c>
      <c r="J51" s="27" t="str">
        <f t="shared" si="9"/>
        <v>—</v>
      </c>
      <c r="K51" s="28" t="str">
        <f t="shared" si="10"/>
        <v>—</v>
      </c>
      <c r="L51" s="28" t="str">
        <f t="shared" si="11"/>
        <v>—</v>
      </c>
      <c r="M51" s="27" t="str">
        <f t="shared" si="12"/>
        <v>—</v>
      </c>
      <c r="N51" s="29" t="str">
        <f t="shared" si="13"/>
        <v>—</v>
      </c>
      <c r="O51" s="29" t="str">
        <f t="shared" si="14"/>
        <v>—</v>
      </c>
      <c r="P51" s="29" t="str">
        <f t="shared" si="15"/>
        <v>—</v>
      </c>
      <c r="Q51" s="30"/>
    </row>
    <row r="52" spans="1:17" ht="15.75" customHeight="1">
      <c r="A52" s="23"/>
      <c r="B52" s="23"/>
      <c r="C52" s="23"/>
      <c r="D52" s="23"/>
      <c r="E52" s="23"/>
      <c r="F52" s="23"/>
      <c r="G52" s="23"/>
      <c r="H52" s="22" t="str">
        <f>IFERROR(IF(COUNTIF('1. Farm Information'!A:A,A52)&gt;0,"✓","⚠ MISSING!")," ")</f>
        <v>⚠ MISSING!</v>
      </c>
      <c r="I52" s="26" t="str">
        <f t="shared" si="8"/>
        <v>OK</v>
      </c>
      <c r="J52" s="27" t="str">
        <f t="shared" si="9"/>
        <v>—</v>
      </c>
      <c r="K52" s="28" t="str">
        <f t="shared" si="10"/>
        <v>—</v>
      </c>
      <c r="L52" s="28" t="str">
        <f t="shared" si="11"/>
        <v>—</v>
      </c>
      <c r="M52" s="27" t="str">
        <f t="shared" si="12"/>
        <v>—</v>
      </c>
      <c r="N52" s="29" t="str">
        <f t="shared" si="13"/>
        <v>—</v>
      </c>
      <c r="O52" s="29" t="str">
        <f t="shared" si="14"/>
        <v>—</v>
      </c>
      <c r="P52" s="29" t="str">
        <f t="shared" si="15"/>
        <v>—</v>
      </c>
      <c r="Q52" s="31"/>
    </row>
    <row r="53" spans="1:17" ht="15.75" customHeight="1">
      <c r="A53" s="21"/>
      <c r="B53" s="21"/>
      <c r="C53" s="21"/>
      <c r="D53" s="21"/>
      <c r="E53" s="21"/>
      <c r="F53" s="21"/>
      <c r="G53" s="21"/>
      <c r="H53" s="22" t="str">
        <f>IFERROR(IF(COUNTIF('1. Farm Information'!A:A,A53)&gt;0,"✓","⚠ MISSING!")," ")</f>
        <v>⚠ MISSING!</v>
      </c>
      <c r="I53" s="26" t="str">
        <f t="shared" si="8"/>
        <v>OK</v>
      </c>
      <c r="J53" s="27" t="str">
        <f t="shared" si="9"/>
        <v>—</v>
      </c>
      <c r="K53" s="28" t="str">
        <f t="shared" si="10"/>
        <v>—</v>
      </c>
      <c r="L53" s="28" t="str">
        <f t="shared" si="11"/>
        <v>—</v>
      </c>
      <c r="M53" s="27" t="str">
        <f t="shared" si="12"/>
        <v>—</v>
      </c>
      <c r="N53" s="29" t="str">
        <f t="shared" si="13"/>
        <v>—</v>
      </c>
      <c r="O53" s="29" t="str">
        <f t="shared" si="14"/>
        <v>—</v>
      </c>
      <c r="P53" s="29" t="str">
        <f t="shared" si="15"/>
        <v>—</v>
      </c>
      <c r="Q53" s="30"/>
    </row>
    <row r="54" spans="1:17" ht="15.75" customHeight="1">
      <c r="A54" s="23"/>
      <c r="B54" s="23"/>
      <c r="C54" s="23"/>
      <c r="D54" s="23"/>
      <c r="E54" s="23"/>
      <c r="F54" s="23"/>
      <c r="G54" s="23"/>
      <c r="H54" s="22" t="str">
        <f>IFERROR(IF(COUNTIF('1. Farm Information'!A:A,A54)&gt;0,"✓","⚠ MISSING!")," ")</f>
        <v>⚠ MISSING!</v>
      </c>
      <c r="I54" s="26" t="str">
        <f t="shared" si="8"/>
        <v>OK</v>
      </c>
      <c r="J54" s="27" t="str">
        <f t="shared" si="9"/>
        <v>—</v>
      </c>
      <c r="K54" s="28" t="str">
        <f t="shared" si="10"/>
        <v>—</v>
      </c>
      <c r="L54" s="28" t="str">
        <f t="shared" si="11"/>
        <v>—</v>
      </c>
      <c r="M54" s="27" t="str">
        <f t="shared" si="12"/>
        <v>—</v>
      </c>
      <c r="N54" s="29" t="str">
        <f t="shared" si="13"/>
        <v>—</v>
      </c>
      <c r="O54" s="29" t="str">
        <f t="shared" si="14"/>
        <v>—</v>
      </c>
      <c r="P54" s="29" t="str">
        <f t="shared" si="15"/>
        <v>—</v>
      </c>
      <c r="Q54" s="31"/>
    </row>
    <row r="55" spans="1:17" ht="15.75" customHeight="1">
      <c r="A55" s="21"/>
      <c r="B55" s="21"/>
      <c r="C55" s="21"/>
      <c r="D55" s="21"/>
      <c r="E55" s="21"/>
      <c r="F55" s="21"/>
      <c r="G55" s="21"/>
      <c r="H55" s="22" t="str">
        <f>IFERROR(IF(COUNTIF('1. Farm Information'!A:A,A55)&gt;0,"✓","⚠ MISSING!")," ")</f>
        <v>⚠ MISSING!</v>
      </c>
      <c r="I55" s="26" t="str">
        <f t="shared" si="8"/>
        <v>OK</v>
      </c>
      <c r="J55" s="27" t="str">
        <f t="shared" si="9"/>
        <v>—</v>
      </c>
      <c r="K55" s="28" t="str">
        <f t="shared" si="10"/>
        <v>—</v>
      </c>
      <c r="L55" s="28" t="str">
        <f t="shared" si="11"/>
        <v>—</v>
      </c>
      <c r="M55" s="27" t="str">
        <f t="shared" si="12"/>
        <v>—</v>
      </c>
      <c r="N55" s="29" t="str">
        <f t="shared" si="13"/>
        <v>—</v>
      </c>
      <c r="O55" s="29" t="str">
        <f t="shared" si="14"/>
        <v>—</v>
      </c>
      <c r="P55" s="29" t="str">
        <f t="shared" si="15"/>
        <v>—</v>
      </c>
      <c r="Q55" s="30"/>
    </row>
    <row r="56" spans="1:17" ht="15.75" customHeight="1">
      <c r="A56" s="23"/>
      <c r="B56" s="23"/>
      <c r="C56" s="23"/>
      <c r="D56" s="23"/>
      <c r="E56" s="23"/>
      <c r="F56" s="23"/>
      <c r="G56" s="23"/>
      <c r="H56" s="22" t="str">
        <f>IFERROR(IF(COUNTIF('1. Farm Information'!A:A,A56)&gt;0,"✓","⚠ MISSING!")," ")</f>
        <v>⚠ MISSING!</v>
      </c>
      <c r="I56" s="26" t="str">
        <f t="shared" si="8"/>
        <v>OK</v>
      </c>
      <c r="J56" s="27" t="str">
        <f t="shared" si="9"/>
        <v>—</v>
      </c>
      <c r="K56" s="28" t="str">
        <f t="shared" si="10"/>
        <v>—</v>
      </c>
      <c r="L56" s="28" t="str">
        <f t="shared" si="11"/>
        <v>—</v>
      </c>
      <c r="M56" s="27" t="str">
        <f t="shared" si="12"/>
        <v>—</v>
      </c>
      <c r="N56" s="29" t="str">
        <f t="shared" si="13"/>
        <v>—</v>
      </c>
      <c r="O56" s="29" t="str">
        <f t="shared" si="14"/>
        <v>—</v>
      </c>
      <c r="P56" s="29" t="str">
        <f t="shared" si="15"/>
        <v>—</v>
      </c>
      <c r="Q56" s="31"/>
    </row>
    <row r="57" spans="1:17" ht="15.75" customHeight="1">
      <c r="A57" s="21"/>
      <c r="B57" s="21"/>
      <c r="C57" s="21"/>
      <c r="D57" s="21"/>
      <c r="E57" s="21"/>
      <c r="F57" s="21"/>
      <c r="G57" s="21"/>
      <c r="H57" s="22" t="str">
        <f>IFERROR(IF(COUNTIF('1. Farm Information'!A:A,A57)&gt;0,"✓","⚠ MISSING!")," ")</f>
        <v>⚠ MISSING!</v>
      </c>
      <c r="I57" s="26" t="str">
        <f t="shared" si="8"/>
        <v>OK</v>
      </c>
      <c r="J57" s="27" t="str">
        <f t="shared" si="9"/>
        <v>—</v>
      </c>
      <c r="K57" s="28" t="str">
        <f t="shared" si="10"/>
        <v>—</v>
      </c>
      <c r="L57" s="28" t="str">
        <f t="shared" si="11"/>
        <v>—</v>
      </c>
      <c r="M57" s="27" t="str">
        <f t="shared" si="12"/>
        <v>—</v>
      </c>
      <c r="N57" s="29" t="str">
        <f t="shared" si="13"/>
        <v>—</v>
      </c>
      <c r="O57" s="29" t="str">
        <f t="shared" si="14"/>
        <v>—</v>
      </c>
      <c r="P57" s="29" t="str">
        <f t="shared" si="15"/>
        <v>—</v>
      </c>
      <c r="Q57" s="30"/>
    </row>
    <row r="58" spans="1:17" ht="15.75" customHeight="1">
      <c r="A58" s="23"/>
      <c r="B58" s="23"/>
      <c r="C58" s="23"/>
      <c r="D58" s="23"/>
      <c r="E58" s="23"/>
      <c r="F58" s="23"/>
      <c r="G58" s="23"/>
      <c r="H58" s="22" t="str">
        <f>IFERROR(IF(COUNTIF('1. Farm Information'!A:A,A58)&gt;0,"✓","⚠ MISSING!")," ")</f>
        <v>⚠ MISSING!</v>
      </c>
      <c r="I58" s="26" t="str">
        <f t="shared" si="8"/>
        <v>OK</v>
      </c>
      <c r="J58" s="27" t="str">
        <f t="shared" si="9"/>
        <v>—</v>
      </c>
      <c r="K58" s="28" t="str">
        <f t="shared" si="10"/>
        <v>—</v>
      </c>
      <c r="L58" s="28" t="str">
        <f t="shared" si="11"/>
        <v>—</v>
      </c>
      <c r="M58" s="27" t="str">
        <f t="shared" si="12"/>
        <v>—</v>
      </c>
      <c r="N58" s="29" t="str">
        <f t="shared" si="13"/>
        <v>—</v>
      </c>
      <c r="O58" s="29" t="str">
        <f t="shared" si="14"/>
        <v>—</v>
      </c>
      <c r="P58" s="29" t="str">
        <f t="shared" si="15"/>
        <v>—</v>
      </c>
      <c r="Q58" s="31"/>
    </row>
    <row r="59" spans="1:17" ht="15.75" customHeight="1">
      <c r="A59" s="21"/>
      <c r="B59" s="21"/>
      <c r="C59" s="21"/>
      <c r="D59" s="21"/>
      <c r="E59" s="21"/>
      <c r="F59" s="21"/>
      <c r="G59" s="21"/>
      <c r="H59" s="22" t="str">
        <f>IFERROR(IF(COUNTIF('1. Farm Information'!A:A,A59)&gt;0,"✓","⚠ MISSING!")," ")</f>
        <v>⚠ MISSING!</v>
      </c>
      <c r="I59" s="26" t="str">
        <f t="shared" si="8"/>
        <v>OK</v>
      </c>
      <c r="J59" s="27" t="str">
        <f t="shared" si="9"/>
        <v>—</v>
      </c>
      <c r="K59" s="28" t="str">
        <f t="shared" si="10"/>
        <v>—</v>
      </c>
      <c r="L59" s="28" t="str">
        <f t="shared" si="11"/>
        <v>—</v>
      </c>
      <c r="M59" s="27" t="str">
        <f t="shared" si="12"/>
        <v>—</v>
      </c>
      <c r="N59" s="29" t="str">
        <f t="shared" si="13"/>
        <v>—</v>
      </c>
      <c r="O59" s="29" t="str">
        <f t="shared" si="14"/>
        <v>—</v>
      </c>
      <c r="P59" s="29" t="str">
        <f t="shared" si="15"/>
        <v>—</v>
      </c>
      <c r="Q59" s="30"/>
    </row>
    <row r="60" spans="1:17" ht="15.75" customHeight="1">
      <c r="A60" s="23"/>
      <c r="B60" s="23"/>
      <c r="C60" s="23"/>
      <c r="D60" s="23"/>
      <c r="E60" s="23"/>
      <c r="F60" s="23"/>
      <c r="G60" s="23"/>
      <c r="H60" s="22" t="str">
        <f>IFERROR(IF(COUNTIF('1. Farm Information'!A:A,A60)&gt;0,"✓","⚠ MISSING!")," ")</f>
        <v>⚠ MISSING!</v>
      </c>
      <c r="I60" s="26" t="str">
        <f t="shared" si="8"/>
        <v>OK</v>
      </c>
      <c r="J60" s="27" t="str">
        <f t="shared" si="9"/>
        <v>—</v>
      </c>
      <c r="K60" s="28" t="str">
        <f t="shared" si="10"/>
        <v>—</v>
      </c>
      <c r="L60" s="28" t="str">
        <f t="shared" si="11"/>
        <v>—</v>
      </c>
      <c r="M60" s="27" t="str">
        <f t="shared" si="12"/>
        <v>—</v>
      </c>
      <c r="N60" s="29" t="str">
        <f t="shared" si="13"/>
        <v>—</v>
      </c>
      <c r="O60" s="29" t="str">
        <f t="shared" si="14"/>
        <v>—</v>
      </c>
      <c r="P60" s="29" t="str">
        <f t="shared" si="15"/>
        <v>—</v>
      </c>
      <c r="Q60" s="31"/>
    </row>
    <row r="61" spans="1:17" ht="15.75" customHeight="1">
      <c r="A61" s="21"/>
      <c r="B61" s="21"/>
      <c r="C61" s="21"/>
      <c r="D61" s="21"/>
      <c r="E61" s="21"/>
      <c r="F61" s="21"/>
      <c r="G61" s="21"/>
      <c r="H61" s="22" t="str">
        <f>IFERROR(IF(COUNTIF('1. Farm Information'!A:A,A61)&gt;0,"✓","⚠ MISSING!")," ")</f>
        <v>⚠ MISSING!</v>
      </c>
      <c r="I61" s="26" t="str">
        <f t="shared" si="8"/>
        <v>OK</v>
      </c>
      <c r="J61" s="27" t="str">
        <f t="shared" si="9"/>
        <v>—</v>
      </c>
      <c r="K61" s="28" t="str">
        <f t="shared" si="10"/>
        <v>—</v>
      </c>
      <c r="L61" s="28" t="str">
        <f t="shared" si="11"/>
        <v>—</v>
      </c>
      <c r="M61" s="27" t="str">
        <f t="shared" si="12"/>
        <v>—</v>
      </c>
      <c r="N61" s="29" t="str">
        <f t="shared" si="13"/>
        <v>—</v>
      </c>
      <c r="O61" s="29" t="str">
        <f t="shared" si="14"/>
        <v>—</v>
      </c>
      <c r="P61" s="29" t="str">
        <f t="shared" si="15"/>
        <v>—</v>
      </c>
      <c r="Q61" s="30"/>
    </row>
    <row r="62" spans="1:17" ht="15.75" customHeight="1">
      <c r="A62" s="23"/>
      <c r="B62" s="23"/>
      <c r="C62" s="23"/>
      <c r="D62" s="23"/>
      <c r="E62" s="23"/>
      <c r="F62" s="23"/>
      <c r="G62" s="23"/>
      <c r="H62" s="22" t="str">
        <f>IFERROR(IF(COUNTIF('1. Farm Information'!A:A,A62)&gt;0,"✓","⚠ MISSING!")," ")</f>
        <v>⚠ MISSING!</v>
      </c>
      <c r="I62" s="26" t="str">
        <f t="shared" si="8"/>
        <v>OK</v>
      </c>
      <c r="J62" s="27" t="str">
        <f t="shared" si="9"/>
        <v>—</v>
      </c>
      <c r="K62" s="28" t="str">
        <f t="shared" si="10"/>
        <v>—</v>
      </c>
      <c r="L62" s="28" t="str">
        <f t="shared" si="11"/>
        <v>—</v>
      </c>
      <c r="M62" s="27" t="str">
        <f t="shared" si="12"/>
        <v>—</v>
      </c>
      <c r="N62" s="29" t="str">
        <f t="shared" si="13"/>
        <v>—</v>
      </c>
      <c r="O62" s="29" t="str">
        <f t="shared" si="14"/>
        <v>—</v>
      </c>
      <c r="P62" s="29" t="str">
        <f t="shared" si="15"/>
        <v>—</v>
      </c>
      <c r="Q62" s="31"/>
    </row>
    <row r="63" spans="1:17" ht="15.75" customHeight="1">
      <c r="A63" s="21"/>
      <c r="B63" s="21"/>
      <c r="C63" s="21"/>
      <c r="D63" s="21"/>
      <c r="E63" s="21"/>
      <c r="F63" s="21"/>
      <c r="G63" s="21"/>
      <c r="H63" s="22" t="str">
        <f>IFERROR(IF(COUNTIF('1. Farm Information'!A:A,A63)&gt;0,"✓","⚠ MISSING!")," ")</f>
        <v>⚠ MISSING!</v>
      </c>
      <c r="I63" s="26" t="str">
        <f t="shared" si="8"/>
        <v>OK</v>
      </c>
      <c r="J63" s="27" t="str">
        <f t="shared" si="9"/>
        <v>—</v>
      </c>
      <c r="K63" s="28" t="str">
        <f t="shared" si="10"/>
        <v>—</v>
      </c>
      <c r="L63" s="28" t="str">
        <f t="shared" si="11"/>
        <v>—</v>
      </c>
      <c r="M63" s="27" t="str">
        <f t="shared" si="12"/>
        <v>—</v>
      </c>
      <c r="N63" s="29" t="str">
        <f t="shared" si="13"/>
        <v>—</v>
      </c>
      <c r="O63" s="29" t="str">
        <f t="shared" si="14"/>
        <v>—</v>
      </c>
      <c r="P63" s="29" t="str">
        <f t="shared" si="15"/>
        <v>—</v>
      </c>
      <c r="Q63" s="30"/>
    </row>
    <row r="64" spans="1:17" ht="15.75" customHeight="1">
      <c r="A64" s="23"/>
      <c r="B64" s="23"/>
      <c r="C64" s="23"/>
      <c r="D64" s="23"/>
      <c r="E64" s="23"/>
      <c r="F64" s="23"/>
      <c r="G64" s="23"/>
      <c r="H64" s="22" t="str">
        <f>IFERROR(IF(COUNTIF('1. Farm Information'!A:A,A64)&gt;0,"✓","⚠ MISSING!")," ")</f>
        <v>⚠ MISSING!</v>
      </c>
      <c r="I64" s="26" t="str">
        <f t="shared" si="8"/>
        <v>OK</v>
      </c>
      <c r="J64" s="27" t="str">
        <f t="shared" si="9"/>
        <v>—</v>
      </c>
      <c r="K64" s="28" t="str">
        <f t="shared" si="10"/>
        <v>—</v>
      </c>
      <c r="L64" s="28" t="str">
        <f t="shared" si="11"/>
        <v>—</v>
      </c>
      <c r="M64" s="27" t="str">
        <f t="shared" si="12"/>
        <v>—</v>
      </c>
      <c r="N64" s="29" t="str">
        <f t="shared" si="13"/>
        <v>—</v>
      </c>
      <c r="O64" s="29" t="str">
        <f t="shared" si="14"/>
        <v>—</v>
      </c>
      <c r="P64" s="29" t="str">
        <f t="shared" si="15"/>
        <v>—</v>
      </c>
      <c r="Q64" s="31"/>
    </row>
    <row r="65" spans="1:17" ht="15.75" customHeight="1">
      <c r="A65" s="21"/>
      <c r="B65" s="21"/>
      <c r="C65" s="21"/>
      <c r="D65" s="21"/>
      <c r="E65" s="21"/>
      <c r="F65" s="21"/>
      <c r="G65" s="21"/>
      <c r="H65" s="22" t="str">
        <f>IFERROR(IF(COUNTIF('1. Farm Information'!A:A,A65)&gt;0,"✓","⚠ MISSING!")," ")</f>
        <v>⚠ MISSING!</v>
      </c>
      <c r="I65" s="26" t="str">
        <f t="shared" si="8"/>
        <v>OK</v>
      </c>
      <c r="J65" s="27" t="str">
        <f t="shared" si="9"/>
        <v>—</v>
      </c>
      <c r="K65" s="28" t="str">
        <f t="shared" si="10"/>
        <v>—</v>
      </c>
      <c r="L65" s="28" t="str">
        <f t="shared" si="11"/>
        <v>—</v>
      </c>
      <c r="M65" s="27" t="str">
        <f t="shared" si="12"/>
        <v>—</v>
      </c>
      <c r="N65" s="29" t="str">
        <f t="shared" si="13"/>
        <v>—</v>
      </c>
      <c r="O65" s="29" t="str">
        <f t="shared" si="14"/>
        <v>—</v>
      </c>
      <c r="P65" s="29" t="str">
        <f t="shared" si="15"/>
        <v>—</v>
      </c>
      <c r="Q65" s="30"/>
    </row>
    <row r="66" spans="1:17" ht="15.75" customHeight="1">
      <c r="A66" s="23"/>
      <c r="B66" s="23"/>
      <c r="C66" s="23"/>
      <c r="D66" s="23"/>
      <c r="E66" s="23"/>
      <c r="F66" s="23"/>
      <c r="G66" s="23"/>
      <c r="H66" s="22" t="str">
        <f>IFERROR(IF(COUNTIF('1. Farm Information'!A:A,A66)&gt;0,"✓","⚠ MISSING!")," ")</f>
        <v>⚠ MISSING!</v>
      </c>
      <c r="I66" s="26" t="str">
        <f t="shared" si="8"/>
        <v>OK</v>
      </c>
      <c r="J66" s="27" t="str">
        <f t="shared" si="9"/>
        <v>—</v>
      </c>
      <c r="K66" s="28" t="str">
        <f t="shared" si="10"/>
        <v>—</v>
      </c>
      <c r="L66" s="28" t="str">
        <f t="shared" si="11"/>
        <v>—</v>
      </c>
      <c r="M66" s="27" t="str">
        <f t="shared" si="12"/>
        <v>—</v>
      </c>
      <c r="N66" s="29" t="str">
        <f t="shared" si="13"/>
        <v>—</v>
      </c>
      <c r="O66" s="29" t="str">
        <f t="shared" si="14"/>
        <v>—</v>
      </c>
      <c r="P66" s="29" t="str">
        <f t="shared" si="15"/>
        <v>—</v>
      </c>
      <c r="Q66" s="31"/>
    </row>
    <row r="67" spans="1:17" ht="15.75" customHeight="1">
      <c r="A67" s="21"/>
      <c r="B67" s="21"/>
      <c r="C67" s="21"/>
      <c r="D67" s="21"/>
      <c r="E67" s="21"/>
      <c r="F67" s="21"/>
      <c r="G67" s="21"/>
      <c r="H67" s="22" t="str">
        <f>IFERROR(IF(COUNTIF('1. Farm Information'!A:A,A67)&gt;0,"✓","⚠ MISSING!")," ")</f>
        <v>⚠ MISSING!</v>
      </c>
      <c r="I67" s="26" t="str">
        <f t="shared" si="8"/>
        <v>OK</v>
      </c>
      <c r="J67" s="27" t="str">
        <f t="shared" si="9"/>
        <v>—</v>
      </c>
      <c r="K67" s="28" t="str">
        <f t="shared" si="10"/>
        <v>—</v>
      </c>
      <c r="L67" s="28" t="str">
        <f t="shared" si="11"/>
        <v>—</v>
      </c>
      <c r="M67" s="27" t="str">
        <f t="shared" si="12"/>
        <v>—</v>
      </c>
      <c r="N67" s="29" t="str">
        <f t="shared" si="13"/>
        <v>—</v>
      </c>
      <c r="O67" s="29" t="str">
        <f t="shared" si="14"/>
        <v>—</v>
      </c>
      <c r="P67" s="29" t="str">
        <f t="shared" si="15"/>
        <v>—</v>
      </c>
      <c r="Q67" s="30"/>
    </row>
    <row r="68" spans="1:17" ht="15.75" customHeight="1">
      <c r="A68" s="23"/>
      <c r="B68" s="23"/>
      <c r="C68" s="23"/>
      <c r="D68" s="23"/>
      <c r="E68" s="23"/>
      <c r="F68" s="23"/>
      <c r="G68" s="23"/>
      <c r="H68" s="22" t="str">
        <f>IFERROR(IF(COUNTIF('1. Farm Information'!A:A,A68)&gt;0,"✓","⚠ MISSING!")," ")</f>
        <v>⚠ MISSING!</v>
      </c>
      <c r="I68" s="26" t="str">
        <f t="shared" si="8"/>
        <v>OK</v>
      </c>
      <c r="J68" s="27" t="str">
        <f t="shared" si="9"/>
        <v>—</v>
      </c>
      <c r="K68" s="28" t="str">
        <f t="shared" si="10"/>
        <v>—</v>
      </c>
      <c r="L68" s="28" t="str">
        <f t="shared" si="11"/>
        <v>—</v>
      </c>
      <c r="M68" s="27" t="str">
        <f t="shared" si="12"/>
        <v>—</v>
      </c>
      <c r="N68" s="29" t="str">
        <f t="shared" si="13"/>
        <v>—</v>
      </c>
      <c r="O68" s="29" t="str">
        <f t="shared" si="14"/>
        <v>—</v>
      </c>
      <c r="P68" s="29" t="str">
        <f t="shared" si="15"/>
        <v>—</v>
      </c>
      <c r="Q68" s="31"/>
    </row>
    <row r="69" spans="1:17" ht="15.75" customHeight="1">
      <c r="A69" s="21"/>
      <c r="B69" s="21"/>
      <c r="C69" s="21"/>
      <c r="D69" s="21"/>
      <c r="E69" s="21"/>
      <c r="F69" s="21"/>
      <c r="G69" s="21"/>
      <c r="H69" s="22" t="str">
        <f>IFERROR(IF(COUNTIF('1. Farm Information'!A:A,A69)&gt;0,"✓","⚠ MISSING!")," ")</f>
        <v>⚠ MISSING!</v>
      </c>
      <c r="I69" s="26" t="str">
        <f t="shared" ref="I69:I104" si="16">IFERROR(IF(G69&gt;F69,"⚠ Vol&gt;Harvest","OK")," ")</f>
        <v>OK</v>
      </c>
      <c r="J69" s="27" t="str">
        <f t="shared" ref="J69:J104" si="17">IFERROR(IF(AND(ISNUMBER(E69),ISNUMBER(F69),F69&lt;&gt;0),(E69-F69)/F69,"—")," ")</f>
        <v>—</v>
      </c>
      <c r="K69" s="28" t="str">
        <f t="shared" ref="K69:K104" si="18">IFERROR(IF(AND(ISNUMBER(E69),ISNUMBER(D69),D69&lt;&gt;0),E69/D69,"—")," ")</f>
        <v>—</v>
      </c>
      <c r="L69" s="28" t="str">
        <f t="shared" ref="L69:L104" si="19">IFERROR(IF(AND(ISNUMBER(F69),ISNUMBER(D69),D69&lt;&gt;0),F69/D69,"—")," ")</f>
        <v>—</v>
      </c>
      <c r="M69" s="27" t="str">
        <f t="shared" ref="M69:M104" si="20">IFERROR(IF(AND(ISNUMBER(G69),ISNUMBER(F69),F69&lt;&gt;0),G69/F69,"—")," ")</f>
        <v>—</v>
      </c>
      <c r="N69" s="29" t="str">
        <f t="shared" ref="N69:N104" si="21">IFERROR(IF(ISNUMBER(E69),E69/64,"—")," ")</f>
        <v>—</v>
      </c>
      <c r="O69" s="29" t="str">
        <f t="shared" ref="O69:O104" si="22">IFERROR(IF(ISNUMBER(F69),F69/64,"—")," ")</f>
        <v>—</v>
      </c>
      <c r="P69" s="29" t="str">
        <f t="shared" ref="P69:P104" si="23">IFERROR(IF(ISNUMBER(G69),G69/64,"—")," ")</f>
        <v>—</v>
      </c>
      <c r="Q69" s="30"/>
    </row>
    <row r="70" spans="1:17" ht="15.75" customHeight="1">
      <c r="A70" s="23"/>
      <c r="B70" s="23"/>
      <c r="C70" s="23"/>
      <c r="D70" s="23"/>
      <c r="E70" s="23"/>
      <c r="F70" s="23"/>
      <c r="G70" s="23"/>
      <c r="H70" s="22" t="str">
        <f>IFERROR(IF(COUNTIF('1. Farm Information'!A:A,A70)&gt;0,"✓","⚠ MISSING!")," ")</f>
        <v>⚠ MISSING!</v>
      </c>
      <c r="I70" s="26" t="str">
        <f t="shared" si="16"/>
        <v>OK</v>
      </c>
      <c r="J70" s="27" t="str">
        <f t="shared" si="17"/>
        <v>—</v>
      </c>
      <c r="K70" s="28" t="str">
        <f t="shared" si="18"/>
        <v>—</v>
      </c>
      <c r="L70" s="28" t="str">
        <f t="shared" si="19"/>
        <v>—</v>
      </c>
      <c r="M70" s="27" t="str">
        <f t="shared" si="20"/>
        <v>—</v>
      </c>
      <c r="N70" s="29" t="str">
        <f t="shared" si="21"/>
        <v>—</v>
      </c>
      <c r="O70" s="29" t="str">
        <f t="shared" si="22"/>
        <v>—</v>
      </c>
      <c r="P70" s="29" t="str">
        <f t="shared" si="23"/>
        <v>—</v>
      </c>
      <c r="Q70" s="31"/>
    </row>
    <row r="71" spans="1:17" ht="15.75" customHeight="1">
      <c r="A71" s="21"/>
      <c r="B71" s="21"/>
      <c r="C71" s="21"/>
      <c r="D71" s="21"/>
      <c r="E71" s="21"/>
      <c r="F71" s="21"/>
      <c r="G71" s="21"/>
      <c r="H71" s="22" t="str">
        <f>IFERROR(IF(COUNTIF('1. Farm Information'!A:A,A71)&gt;0,"✓","⚠ MISSING!")," ")</f>
        <v>⚠ MISSING!</v>
      </c>
      <c r="I71" s="26" t="str">
        <f t="shared" si="16"/>
        <v>OK</v>
      </c>
      <c r="J71" s="27" t="str">
        <f t="shared" si="17"/>
        <v>—</v>
      </c>
      <c r="K71" s="28" t="str">
        <f t="shared" si="18"/>
        <v>—</v>
      </c>
      <c r="L71" s="28" t="str">
        <f t="shared" si="19"/>
        <v>—</v>
      </c>
      <c r="M71" s="27" t="str">
        <f t="shared" si="20"/>
        <v>—</v>
      </c>
      <c r="N71" s="29" t="str">
        <f t="shared" si="21"/>
        <v>—</v>
      </c>
      <c r="O71" s="29" t="str">
        <f t="shared" si="22"/>
        <v>—</v>
      </c>
      <c r="P71" s="29" t="str">
        <f t="shared" si="23"/>
        <v>—</v>
      </c>
      <c r="Q71" s="30"/>
    </row>
    <row r="72" spans="1:17" ht="15.75" customHeight="1">
      <c r="A72" s="23"/>
      <c r="B72" s="23"/>
      <c r="C72" s="23"/>
      <c r="D72" s="23"/>
      <c r="E72" s="23"/>
      <c r="F72" s="23"/>
      <c r="G72" s="23"/>
      <c r="H72" s="22" t="str">
        <f>IFERROR(IF(COUNTIF('1. Farm Information'!A:A,A72)&gt;0,"✓","⚠ MISSING!")," ")</f>
        <v>⚠ MISSING!</v>
      </c>
      <c r="I72" s="26" t="str">
        <f t="shared" si="16"/>
        <v>OK</v>
      </c>
      <c r="J72" s="27" t="str">
        <f t="shared" si="17"/>
        <v>—</v>
      </c>
      <c r="K72" s="28" t="str">
        <f t="shared" si="18"/>
        <v>—</v>
      </c>
      <c r="L72" s="28" t="str">
        <f t="shared" si="19"/>
        <v>—</v>
      </c>
      <c r="M72" s="27" t="str">
        <f t="shared" si="20"/>
        <v>—</v>
      </c>
      <c r="N72" s="29" t="str">
        <f t="shared" si="21"/>
        <v>—</v>
      </c>
      <c r="O72" s="29" t="str">
        <f t="shared" si="22"/>
        <v>—</v>
      </c>
      <c r="P72" s="29" t="str">
        <f t="shared" si="23"/>
        <v>—</v>
      </c>
      <c r="Q72" s="31"/>
    </row>
    <row r="73" spans="1:17" ht="15.75" customHeight="1">
      <c r="A73" s="21"/>
      <c r="B73" s="21"/>
      <c r="C73" s="21"/>
      <c r="D73" s="21"/>
      <c r="E73" s="21"/>
      <c r="F73" s="21"/>
      <c r="G73" s="21"/>
      <c r="H73" s="22" t="str">
        <f>IFERROR(IF(COUNTIF('1. Farm Information'!A:A,A73)&gt;0,"✓","⚠ MISSING!")," ")</f>
        <v>⚠ MISSING!</v>
      </c>
      <c r="I73" s="26" t="str">
        <f t="shared" si="16"/>
        <v>OK</v>
      </c>
      <c r="J73" s="27" t="str">
        <f t="shared" si="17"/>
        <v>—</v>
      </c>
      <c r="K73" s="28" t="str">
        <f t="shared" si="18"/>
        <v>—</v>
      </c>
      <c r="L73" s="28" t="str">
        <f t="shared" si="19"/>
        <v>—</v>
      </c>
      <c r="M73" s="27" t="str">
        <f t="shared" si="20"/>
        <v>—</v>
      </c>
      <c r="N73" s="29" t="str">
        <f t="shared" si="21"/>
        <v>—</v>
      </c>
      <c r="O73" s="29" t="str">
        <f t="shared" si="22"/>
        <v>—</v>
      </c>
      <c r="P73" s="29" t="str">
        <f t="shared" si="23"/>
        <v>—</v>
      </c>
      <c r="Q73" s="30"/>
    </row>
    <row r="74" spans="1:17" ht="15.75" customHeight="1">
      <c r="A74" s="23"/>
      <c r="B74" s="23"/>
      <c r="C74" s="23"/>
      <c r="D74" s="23"/>
      <c r="E74" s="23"/>
      <c r="F74" s="23"/>
      <c r="G74" s="23"/>
      <c r="H74" s="22" t="str">
        <f>IFERROR(IF(COUNTIF('1. Farm Information'!A:A,A74)&gt;0,"✓","⚠ MISSING!")," ")</f>
        <v>⚠ MISSING!</v>
      </c>
      <c r="I74" s="26" t="str">
        <f t="shared" si="16"/>
        <v>OK</v>
      </c>
      <c r="J74" s="27" t="str">
        <f t="shared" si="17"/>
        <v>—</v>
      </c>
      <c r="K74" s="28" t="str">
        <f t="shared" si="18"/>
        <v>—</v>
      </c>
      <c r="L74" s="28" t="str">
        <f t="shared" si="19"/>
        <v>—</v>
      </c>
      <c r="M74" s="27" t="str">
        <f t="shared" si="20"/>
        <v>—</v>
      </c>
      <c r="N74" s="29" t="str">
        <f t="shared" si="21"/>
        <v>—</v>
      </c>
      <c r="O74" s="29" t="str">
        <f t="shared" si="22"/>
        <v>—</v>
      </c>
      <c r="P74" s="29" t="str">
        <f t="shared" si="23"/>
        <v>—</v>
      </c>
      <c r="Q74" s="31"/>
    </row>
    <row r="75" spans="1:17" ht="15.75" customHeight="1">
      <c r="A75" s="21"/>
      <c r="B75" s="21"/>
      <c r="C75" s="21"/>
      <c r="D75" s="21"/>
      <c r="E75" s="21"/>
      <c r="F75" s="21"/>
      <c r="G75" s="21"/>
      <c r="H75" s="22" t="str">
        <f>IFERROR(IF(COUNTIF('1. Farm Information'!A:A,A75)&gt;0,"✓","⚠ MISSING!")," ")</f>
        <v>⚠ MISSING!</v>
      </c>
      <c r="I75" s="26" t="str">
        <f t="shared" si="16"/>
        <v>OK</v>
      </c>
      <c r="J75" s="27" t="str">
        <f t="shared" si="17"/>
        <v>—</v>
      </c>
      <c r="K75" s="28" t="str">
        <f t="shared" si="18"/>
        <v>—</v>
      </c>
      <c r="L75" s="28" t="str">
        <f t="shared" si="19"/>
        <v>—</v>
      </c>
      <c r="M75" s="27" t="str">
        <f t="shared" si="20"/>
        <v>—</v>
      </c>
      <c r="N75" s="29" t="str">
        <f t="shared" si="21"/>
        <v>—</v>
      </c>
      <c r="O75" s="29" t="str">
        <f t="shared" si="22"/>
        <v>—</v>
      </c>
      <c r="P75" s="29" t="str">
        <f t="shared" si="23"/>
        <v>—</v>
      </c>
      <c r="Q75" s="30"/>
    </row>
    <row r="76" spans="1:17" ht="15.75" customHeight="1">
      <c r="A76" s="23"/>
      <c r="B76" s="23"/>
      <c r="C76" s="23"/>
      <c r="D76" s="23"/>
      <c r="E76" s="23"/>
      <c r="F76" s="23"/>
      <c r="G76" s="23"/>
      <c r="H76" s="22" t="str">
        <f>IFERROR(IF(COUNTIF('1. Farm Information'!A:A,A76)&gt;0,"✓","⚠ MISSING!")," ")</f>
        <v>⚠ MISSING!</v>
      </c>
      <c r="I76" s="26" t="str">
        <f t="shared" si="16"/>
        <v>OK</v>
      </c>
      <c r="J76" s="27" t="str">
        <f t="shared" si="17"/>
        <v>—</v>
      </c>
      <c r="K76" s="28" t="str">
        <f t="shared" si="18"/>
        <v>—</v>
      </c>
      <c r="L76" s="28" t="str">
        <f t="shared" si="19"/>
        <v>—</v>
      </c>
      <c r="M76" s="27" t="str">
        <f t="shared" si="20"/>
        <v>—</v>
      </c>
      <c r="N76" s="29" t="str">
        <f t="shared" si="21"/>
        <v>—</v>
      </c>
      <c r="O76" s="29" t="str">
        <f t="shared" si="22"/>
        <v>—</v>
      </c>
      <c r="P76" s="29" t="str">
        <f t="shared" si="23"/>
        <v>—</v>
      </c>
      <c r="Q76" s="31"/>
    </row>
    <row r="77" spans="1:17" ht="15.75" customHeight="1">
      <c r="A77" s="21"/>
      <c r="B77" s="21"/>
      <c r="C77" s="21"/>
      <c r="D77" s="21"/>
      <c r="E77" s="21"/>
      <c r="F77" s="21"/>
      <c r="G77" s="21"/>
      <c r="H77" s="22" t="str">
        <f>IFERROR(IF(COUNTIF('1. Farm Information'!A:A,A77)&gt;0,"✓","⚠ MISSING!")," ")</f>
        <v>⚠ MISSING!</v>
      </c>
      <c r="I77" s="26" t="str">
        <f t="shared" si="16"/>
        <v>OK</v>
      </c>
      <c r="J77" s="27" t="str">
        <f t="shared" si="17"/>
        <v>—</v>
      </c>
      <c r="K77" s="28" t="str">
        <f t="shared" si="18"/>
        <v>—</v>
      </c>
      <c r="L77" s="28" t="str">
        <f t="shared" si="19"/>
        <v>—</v>
      </c>
      <c r="M77" s="27" t="str">
        <f t="shared" si="20"/>
        <v>—</v>
      </c>
      <c r="N77" s="29" t="str">
        <f t="shared" si="21"/>
        <v>—</v>
      </c>
      <c r="O77" s="29" t="str">
        <f t="shared" si="22"/>
        <v>—</v>
      </c>
      <c r="P77" s="29" t="str">
        <f t="shared" si="23"/>
        <v>—</v>
      </c>
      <c r="Q77" s="30"/>
    </row>
    <row r="78" spans="1:17" ht="15.75" customHeight="1">
      <c r="A78" s="23"/>
      <c r="B78" s="23"/>
      <c r="C78" s="23"/>
      <c r="D78" s="23"/>
      <c r="E78" s="23"/>
      <c r="F78" s="23"/>
      <c r="G78" s="23"/>
      <c r="H78" s="22" t="str">
        <f>IFERROR(IF(COUNTIF('1. Farm Information'!A:A,A78)&gt;0,"✓","⚠ MISSING!")," ")</f>
        <v>⚠ MISSING!</v>
      </c>
      <c r="I78" s="26" t="str">
        <f t="shared" si="16"/>
        <v>OK</v>
      </c>
      <c r="J78" s="27" t="str">
        <f t="shared" si="17"/>
        <v>—</v>
      </c>
      <c r="K78" s="28" t="str">
        <f t="shared" si="18"/>
        <v>—</v>
      </c>
      <c r="L78" s="28" t="str">
        <f t="shared" si="19"/>
        <v>—</v>
      </c>
      <c r="M78" s="27" t="str">
        <f t="shared" si="20"/>
        <v>—</v>
      </c>
      <c r="N78" s="29" t="str">
        <f t="shared" si="21"/>
        <v>—</v>
      </c>
      <c r="O78" s="29" t="str">
        <f t="shared" si="22"/>
        <v>—</v>
      </c>
      <c r="P78" s="29" t="str">
        <f t="shared" si="23"/>
        <v>—</v>
      </c>
      <c r="Q78" s="31"/>
    </row>
    <row r="79" spans="1:17" ht="15.75" customHeight="1">
      <c r="A79" s="21"/>
      <c r="B79" s="21"/>
      <c r="C79" s="21"/>
      <c r="D79" s="21"/>
      <c r="E79" s="21"/>
      <c r="F79" s="21"/>
      <c r="G79" s="21"/>
      <c r="H79" s="22" t="str">
        <f>IFERROR(IF(COUNTIF('1. Farm Information'!A:A,A79)&gt;0,"✓","⚠ MISSING!")," ")</f>
        <v>⚠ MISSING!</v>
      </c>
      <c r="I79" s="26" t="str">
        <f t="shared" si="16"/>
        <v>OK</v>
      </c>
      <c r="J79" s="27" t="str">
        <f t="shared" si="17"/>
        <v>—</v>
      </c>
      <c r="K79" s="28" t="str">
        <f t="shared" si="18"/>
        <v>—</v>
      </c>
      <c r="L79" s="28" t="str">
        <f t="shared" si="19"/>
        <v>—</v>
      </c>
      <c r="M79" s="27" t="str">
        <f t="shared" si="20"/>
        <v>—</v>
      </c>
      <c r="N79" s="29" t="str">
        <f t="shared" si="21"/>
        <v>—</v>
      </c>
      <c r="O79" s="29" t="str">
        <f t="shared" si="22"/>
        <v>—</v>
      </c>
      <c r="P79" s="29" t="str">
        <f t="shared" si="23"/>
        <v>—</v>
      </c>
      <c r="Q79" s="30"/>
    </row>
    <row r="80" spans="1:17" ht="15.75" customHeight="1">
      <c r="A80" s="23"/>
      <c r="B80" s="23"/>
      <c r="C80" s="23"/>
      <c r="D80" s="23"/>
      <c r="E80" s="23"/>
      <c r="F80" s="23"/>
      <c r="G80" s="23"/>
      <c r="H80" s="22" t="str">
        <f>IFERROR(IF(COUNTIF('1. Farm Information'!A:A,A80)&gt;0,"✓","⚠ MISSING!")," ")</f>
        <v>⚠ MISSING!</v>
      </c>
      <c r="I80" s="26" t="str">
        <f t="shared" si="16"/>
        <v>OK</v>
      </c>
      <c r="J80" s="27" t="str">
        <f t="shared" si="17"/>
        <v>—</v>
      </c>
      <c r="K80" s="28" t="str">
        <f t="shared" si="18"/>
        <v>—</v>
      </c>
      <c r="L80" s="28" t="str">
        <f t="shared" si="19"/>
        <v>—</v>
      </c>
      <c r="M80" s="27" t="str">
        <f t="shared" si="20"/>
        <v>—</v>
      </c>
      <c r="N80" s="29" t="str">
        <f t="shared" si="21"/>
        <v>—</v>
      </c>
      <c r="O80" s="29" t="str">
        <f t="shared" si="22"/>
        <v>—</v>
      </c>
      <c r="P80" s="29" t="str">
        <f t="shared" si="23"/>
        <v>—</v>
      </c>
      <c r="Q80" s="31"/>
    </row>
    <row r="81" spans="1:17" ht="15.75" customHeight="1">
      <c r="A81" s="21"/>
      <c r="B81" s="21"/>
      <c r="C81" s="21"/>
      <c r="D81" s="21"/>
      <c r="E81" s="21"/>
      <c r="F81" s="21"/>
      <c r="G81" s="21"/>
      <c r="H81" s="22" t="str">
        <f>IFERROR(IF(COUNTIF('1. Farm Information'!A:A,A81)&gt;0,"✓","⚠ MISSING!")," ")</f>
        <v>⚠ MISSING!</v>
      </c>
      <c r="I81" s="26" t="str">
        <f t="shared" si="16"/>
        <v>OK</v>
      </c>
      <c r="J81" s="27" t="str">
        <f t="shared" si="17"/>
        <v>—</v>
      </c>
      <c r="K81" s="28" t="str">
        <f t="shared" si="18"/>
        <v>—</v>
      </c>
      <c r="L81" s="28" t="str">
        <f t="shared" si="19"/>
        <v>—</v>
      </c>
      <c r="M81" s="27" t="str">
        <f t="shared" si="20"/>
        <v>—</v>
      </c>
      <c r="N81" s="29" t="str">
        <f t="shared" si="21"/>
        <v>—</v>
      </c>
      <c r="O81" s="29" t="str">
        <f t="shared" si="22"/>
        <v>—</v>
      </c>
      <c r="P81" s="29" t="str">
        <f t="shared" si="23"/>
        <v>—</v>
      </c>
      <c r="Q81" s="30"/>
    </row>
    <row r="82" spans="1:17" ht="15.75" customHeight="1">
      <c r="A82" s="23"/>
      <c r="B82" s="23"/>
      <c r="C82" s="23"/>
      <c r="D82" s="23"/>
      <c r="E82" s="23"/>
      <c r="F82" s="23"/>
      <c r="G82" s="23"/>
      <c r="H82" s="22" t="str">
        <f>IFERROR(IF(COUNTIF('1. Farm Information'!A:A,A82)&gt;0,"✓","⚠ MISSING!")," ")</f>
        <v>⚠ MISSING!</v>
      </c>
      <c r="I82" s="26" t="str">
        <f t="shared" si="16"/>
        <v>OK</v>
      </c>
      <c r="J82" s="27" t="str">
        <f t="shared" si="17"/>
        <v>—</v>
      </c>
      <c r="K82" s="28" t="str">
        <f t="shared" si="18"/>
        <v>—</v>
      </c>
      <c r="L82" s="28" t="str">
        <f t="shared" si="19"/>
        <v>—</v>
      </c>
      <c r="M82" s="27" t="str">
        <f t="shared" si="20"/>
        <v>—</v>
      </c>
      <c r="N82" s="29" t="str">
        <f t="shared" si="21"/>
        <v>—</v>
      </c>
      <c r="O82" s="29" t="str">
        <f t="shared" si="22"/>
        <v>—</v>
      </c>
      <c r="P82" s="29" t="str">
        <f t="shared" si="23"/>
        <v>—</v>
      </c>
      <c r="Q82" s="31"/>
    </row>
    <row r="83" spans="1:17" ht="15.75" customHeight="1">
      <c r="A83" s="21"/>
      <c r="B83" s="21"/>
      <c r="C83" s="21"/>
      <c r="D83" s="21"/>
      <c r="E83" s="21"/>
      <c r="F83" s="21"/>
      <c r="G83" s="21"/>
      <c r="H83" s="22" t="str">
        <f>IFERROR(IF(COUNTIF('1. Farm Information'!A:A,A83)&gt;0,"✓","⚠ MISSING!")," ")</f>
        <v>⚠ MISSING!</v>
      </c>
      <c r="I83" s="26" t="str">
        <f t="shared" si="16"/>
        <v>OK</v>
      </c>
      <c r="J83" s="27" t="str">
        <f t="shared" si="17"/>
        <v>—</v>
      </c>
      <c r="K83" s="28" t="str">
        <f t="shared" si="18"/>
        <v>—</v>
      </c>
      <c r="L83" s="28" t="str">
        <f t="shared" si="19"/>
        <v>—</v>
      </c>
      <c r="M83" s="27" t="str">
        <f t="shared" si="20"/>
        <v>—</v>
      </c>
      <c r="N83" s="29" t="str">
        <f t="shared" si="21"/>
        <v>—</v>
      </c>
      <c r="O83" s="29" t="str">
        <f t="shared" si="22"/>
        <v>—</v>
      </c>
      <c r="P83" s="29" t="str">
        <f t="shared" si="23"/>
        <v>—</v>
      </c>
      <c r="Q83" s="30"/>
    </row>
    <row r="84" spans="1:17" ht="15.75" customHeight="1">
      <c r="A84" s="23"/>
      <c r="B84" s="23"/>
      <c r="C84" s="23"/>
      <c r="D84" s="23"/>
      <c r="E84" s="23"/>
      <c r="F84" s="23"/>
      <c r="G84" s="23"/>
      <c r="H84" s="22" t="str">
        <f>IFERROR(IF(COUNTIF('1. Farm Information'!A:A,A84)&gt;0,"✓","⚠ MISSING!")," ")</f>
        <v>⚠ MISSING!</v>
      </c>
      <c r="I84" s="26" t="str">
        <f t="shared" si="16"/>
        <v>OK</v>
      </c>
      <c r="J84" s="27" t="str">
        <f t="shared" si="17"/>
        <v>—</v>
      </c>
      <c r="K84" s="28" t="str">
        <f t="shared" si="18"/>
        <v>—</v>
      </c>
      <c r="L84" s="28" t="str">
        <f t="shared" si="19"/>
        <v>—</v>
      </c>
      <c r="M84" s="27" t="str">
        <f t="shared" si="20"/>
        <v>—</v>
      </c>
      <c r="N84" s="29" t="str">
        <f t="shared" si="21"/>
        <v>—</v>
      </c>
      <c r="O84" s="29" t="str">
        <f t="shared" si="22"/>
        <v>—</v>
      </c>
      <c r="P84" s="29" t="str">
        <f t="shared" si="23"/>
        <v>—</v>
      </c>
      <c r="Q84" s="31"/>
    </row>
    <row r="85" spans="1:17" ht="15.75" customHeight="1">
      <c r="A85" s="21"/>
      <c r="B85" s="21"/>
      <c r="C85" s="21"/>
      <c r="D85" s="21"/>
      <c r="E85" s="21"/>
      <c r="F85" s="21"/>
      <c r="G85" s="21"/>
      <c r="H85" s="22" t="str">
        <f>IFERROR(IF(COUNTIF('1. Farm Information'!A:A,A85)&gt;0,"✓","⚠ MISSING!")," ")</f>
        <v>⚠ MISSING!</v>
      </c>
      <c r="I85" s="26" t="str">
        <f t="shared" si="16"/>
        <v>OK</v>
      </c>
      <c r="J85" s="27" t="str">
        <f t="shared" si="17"/>
        <v>—</v>
      </c>
      <c r="K85" s="28" t="str">
        <f t="shared" si="18"/>
        <v>—</v>
      </c>
      <c r="L85" s="28" t="str">
        <f t="shared" si="19"/>
        <v>—</v>
      </c>
      <c r="M85" s="27" t="str">
        <f t="shared" si="20"/>
        <v>—</v>
      </c>
      <c r="N85" s="29" t="str">
        <f t="shared" si="21"/>
        <v>—</v>
      </c>
      <c r="O85" s="29" t="str">
        <f t="shared" si="22"/>
        <v>—</v>
      </c>
      <c r="P85" s="29" t="str">
        <f t="shared" si="23"/>
        <v>—</v>
      </c>
      <c r="Q85" s="30"/>
    </row>
    <row r="86" spans="1:17" ht="15.75" customHeight="1">
      <c r="A86" s="23"/>
      <c r="B86" s="23"/>
      <c r="C86" s="23"/>
      <c r="D86" s="23"/>
      <c r="E86" s="23"/>
      <c r="F86" s="23"/>
      <c r="G86" s="23"/>
      <c r="H86" s="22" t="str">
        <f>IFERROR(IF(COUNTIF('1. Farm Information'!A:A,A86)&gt;0,"✓","⚠ MISSING!")," ")</f>
        <v>⚠ MISSING!</v>
      </c>
      <c r="I86" s="26" t="str">
        <f t="shared" si="16"/>
        <v>OK</v>
      </c>
      <c r="J86" s="27" t="str">
        <f t="shared" si="17"/>
        <v>—</v>
      </c>
      <c r="K86" s="28" t="str">
        <f t="shared" si="18"/>
        <v>—</v>
      </c>
      <c r="L86" s="28" t="str">
        <f t="shared" si="19"/>
        <v>—</v>
      </c>
      <c r="M86" s="27" t="str">
        <f t="shared" si="20"/>
        <v>—</v>
      </c>
      <c r="N86" s="29" t="str">
        <f t="shared" si="21"/>
        <v>—</v>
      </c>
      <c r="O86" s="29" t="str">
        <f t="shared" si="22"/>
        <v>—</v>
      </c>
      <c r="P86" s="29" t="str">
        <f t="shared" si="23"/>
        <v>—</v>
      </c>
      <c r="Q86" s="31"/>
    </row>
    <row r="87" spans="1:17" ht="15.75" customHeight="1">
      <c r="A87" s="21"/>
      <c r="B87" s="21"/>
      <c r="C87" s="21"/>
      <c r="D87" s="21"/>
      <c r="E87" s="21"/>
      <c r="F87" s="21"/>
      <c r="G87" s="21"/>
      <c r="H87" s="22" t="str">
        <f>IFERROR(IF(COUNTIF('1. Farm Information'!A:A,A87)&gt;0,"✓","⚠ MISSING!")," ")</f>
        <v>⚠ MISSING!</v>
      </c>
      <c r="I87" s="26" t="str">
        <f t="shared" si="16"/>
        <v>OK</v>
      </c>
      <c r="J87" s="27" t="str">
        <f t="shared" si="17"/>
        <v>—</v>
      </c>
      <c r="K87" s="28" t="str">
        <f t="shared" si="18"/>
        <v>—</v>
      </c>
      <c r="L87" s="28" t="str">
        <f t="shared" si="19"/>
        <v>—</v>
      </c>
      <c r="M87" s="27" t="str">
        <f t="shared" si="20"/>
        <v>—</v>
      </c>
      <c r="N87" s="29" t="str">
        <f t="shared" si="21"/>
        <v>—</v>
      </c>
      <c r="O87" s="29" t="str">
        <f t="shared" si="22"/>
        <v>—</v>
      </c>
      <c r="P87" s="29" t="str">
        <f t="shared" si="23"/>
        <v>—</v>
      </c>
      <c r="Q87" s="30"/>
    </row>
    <row r="88" spans="1:17" ht="15.75" customHeight="1">
      <c r="A88" s="23"/>
      <c r="B88" s="23"/>
      <c r="C88" s="23"/>
      <c r="D88" s="23"/>
      <c r="E88" s="23"/>
      <c r="F88" s="23"/>
      <c r="G88" s="23"/>
      <c r="H88" s="22" t="str">
        <f>IFERROR(IF(COUNTIF('1. Farm Information'!A:A,A88)&gt;0,"✓","⚠ MISSING!")," ")</f>
        <v>⚠ MISSING!</v>
      </c>
      <c r="I88" s="26" t="str">
        <f t="shared" si="16"/>
        <v>OK</v>
      </c>
      <c r="J88" s="27" t="str">
        <f t="shared" si="17"/>
        <v>—</v>
      </c>
      <c r="K88" s="28" t="str">
        <f t="shared" si="18"/>
        <v>—</v>
      </c>
      <c r="L88" s="28" t="str">
        <f t="shared" si="19"/>
        <v>—</v>
      </c>
      <c r="M88" s="27" t="str">
        <f t="shared" si="20"/>
        <v>—</v>
      </c>
      <c r="N88" s="29" t="str">
        <f t="shared" si="21"/>
        <v>—</v>
      </c>
      <c r="O88" s="29" t="str">
        <f t="shared" si="22"/>
        <v>—</v>
      </c>
      <c r="P88" s="29" t="str">
        <f t="shared" si="23"/>
        <v>—</v>
      </c>
      <c r="Q88" s="31"/>
    </row>
    <row r="89" spans="1:17" ht="15.75" customHeight="1">
      <c r="A89" s="21"/>
      <c r="B89" s="21"/>
      <c r="C89" s="21"/>
      <c r="D89" s="21"/>
      <c r="E89" s="21"/>
      <c r="F89" s="21"/>
      <c r="G89" s="21"/>
      <c r="H89" s="22" t="str">
        <f>IFERROR(IF(COUNTIF('1. Farm Information'!A:A,A89)&gt;0,"✓","⚠ MISSING!")," ")</f>
        <v>⚠ MISSING!</v>
      </c>
      <c r="I89" s="26" t="str">
        <f t="shared" si="16"/>
        <v>OK</v>
      </c>
      <c r="J89" s="27" t="str">
        <f t="shared" si="17"/>
        <v>—</v>
      </c>
      <c r="K89" s="28" t="str">
        <f t="shared" si="18"/>
        <v>—</v>
      </c>
      <c r="L89" s="28" t="str">
        <f t="shared" si="19"/>
        <v>—</v>
      </c>
      <c r="M89" s="27" t="str">
        <f t="shared" si="20"/>
        <v>—</v>
      </c>
      <c r="N89" s="29" t="str">
        <f t="shared" si="21"/>
        <v>—</v>
      </c>
      <c r="O89" s="29" t="str">
        <f t="shared" si="22"/>
        <v>—</v>
      </c>
      <c r="P89" s="29" t="str">
        <f t="shared" si="23"/>
        <v>—</v>
      </c>
      <c r="Q89" s="30"/>
    </row>
    <row r="90" spans="1:17" ht="15.75" customHeight="1">
      <c r="A90" s="23"/>
      <c r="B90" s="23"/>
      <c r="C90" s="23"/>
      <c r="D90" s="23"/>
      <c r="E90" s="23"/>
      <c r="F90" s="23"/>
      <c r="G90" s="23"/>
      <c r="H90" s="22" t="str">
        <f>IFERROR(IF(COUNTIF('1. Farm Information'!A:A,A90)&gt;0,"✓","⚠ MISSING!")," ")</f>
        <v>⚠ MISSING!</v>
      </c>
      <c r="I90" s="26" t="str">
        <f t="shared" si="16"/>
        <v>OK</v>
      </c>
      <c r="J90" s="27" t="str">
        <f t="shared" si="17"/>
        <v>—</v>
      </c>
      <c r="K90" s="28" t="str">
        <f t="shared" si="18"/>
        <v>—</v>
      </c>
      <c r="L90" s="28" t="str">
        <f t="shared" si="19"/>
        <v>—</v>
      </c>
      <c r="M90" s="27" t="str">
        <f t="shared" si="20"/>
        <v>—</v>
      </c>
      <c r="N90" s="29" t="str">
        <f t="shared" si="21"/>
        <v>—</v>
      </c>
      <c r="O90" s="29" t="str">
        <f t="shared" si="22"/>
        <v>—</v>
      </c>
      <c r="P90" s="29" t="str">
        <f t="shared" si="23"/>
        <v>—</v>
      </c>
      <c r="Q90" s="31"/>
    </row>
    <row r="91" spans="1:17" ht="15.75" customHeight="1">
      <c r="A91" s="21"/>
      <c r="B91" s="21"/>
      <c r="C91" s="21"/>
      <c r="D91" s="21"/>
      <c r="E91" s="21"/>
      <c r="F91" s="21"/>
      <c r="G91" s="21"/>
      <c r="H91" s="22" t="str">
        <f>IFERROR(IF(COUNTIF('1. Farm Information'!A:A,A91)&gt;0,"✓","⚠ MISSING!")," ")</f>
        <v>⚠ MISSING!</v>
      </c>
      <c r="I91" s="26" t="str">
        <f t="shared" si="16"/>
        <v>OK</v>
      </c>
      <c r="J91" s="27" t="str">
        <f t="shared" si="17"/>
        <v>—</v>
      </c>
      <c r="K91" s="28" t="str">
        <f t="shared" si="18"/>
        <v>—</v>
      </c>
      <c r="L91" s="28" t="str">
        <f t="shared" si="19"/>
        <v>—</v>
      </c>
      <c r="M91" s="27" t="str">
        <f t="shared" si="20"/>
        <v>—</v>
      </c>
      <c r="N91" s="29" t="str">
        <f t="shared" si="21"/>
        <v>—</v>
      </c>
      <c r="O91" s="29" t="str">
        <f t="shared" si="22"/>
        <v>—</v>
      </c>
      <c r="P91" s="29" t="str">
        <f t="shared" si="23"/>
        <v>—</v>
      </c>
      <c r="Q91" s="30"/>
    </row>
    <row r="92" spans="1:17" ht="15.75" customHeight="1">
      <c r="A92" s="23"/>
      <c r="B92" s="23"/>
      <c r="C92" s="23"/>
      <c r="D92" s="23"/>
      <c r="E92" s="23"/>
      <c r="F92" s="23"/>
      <c r="G92" s="23"/>
      <c r="H92" s="22" t="str">
        <f>IFERROR(IF(COUNTIF('1. Farm Information'!A:A,A92)&gt;0,"✓","⚠ MISSING!")," ")</f>
        <v>⚠ MISSING!</v>
      </c>
      <c r="I92" s="26" t="str">
        <f t="shared" si="16"/>
        <v>OK</v>
      </c>
      <c r="J92" s="27" t="str">
        <f t="shared" si="17"/>
        <v>—</v>
      </c>
      <c r="K92" s="28" t="str">
        <f t="shared" si="18"/>
        <v>—</v>
      </c>
      <c r="L92" s="28" t="str">
        <f t="shared" si="19"/>
        <v>—</v>
      </c>
      <c r="M92" s="27" t="str">
        <f t="shared" si="20"/>
        <v>—</v>
      </c>
      <c r="N92" s="29" t="str">
        <f t="shared" si="21"/>
        <v>—</v>
      </c>
      <c r="O92" s="29" t="str">
        <f t="shared" si="22"/>
        <v>—</v>
      </c>
      <c r="P92" s="29" t="str">
        <f t="shared" si="23"/>
        <v>—</v>
      </c>
      <c r="Q92" s="31"/>
    </row>
    <row r="93" spans="1:17" ht="15.75" customHeight="1">
      <c r="A93" s="21"/>
      <c r="B93" s="21"/>
      <c r="C93" s="21"/>
      <c r="D93" s="21"/>
      <c r="E93" s="21"/>
      <c r="F93" s="21"/>
      <c r="G93" s="21"/>
      <c r="H93" s="22" t="str">
        <f>IFERROR(IF(COUNTIF('1. Farm Information'!A:A,A93)&gt;0,"✓","⚠ MISSING!")," ")</f>
        <v>⚠ MISSING!</v>
      </c>
      <c r="I93" s="26" t="str">
        <f t="shared" si="16"/>
        <v>OK</v>
      </c>
      <c r="J93" s="27" t="str">
        <f t="shared" si="17"/>
        <v>—</v>
      </c>
      <c r="K93" s="28" t="str">
        <f t="shared" si="18"/>
        <v>—</v>
      </c>
      <c r="L93" s="28" t="str">
        <f t="shared" si="19"/>
        <v>—</v>
      </c>
      <c r="M93" s="27" t="str">
        <f t="shared" si="20"/>
        <v>—</v>
      </c>
      <c r="N93" s="29" t="str">
        <f t="shared" si="21"/>
        <v>—</v>
      </c>
      <c r="O93" s="29" t="str">
        <f t="shared" si="22"/>
        <v>—</v>
      </c>
      <c r="P93" s="29" t="str">
        <f t="shared" si="23"/>
        <v>—</v>
      </c>
      <c r="Q93" s="30"/>
    </row>
    <row r="94" spans="1:17" ht="15.75" customHeight="1">
      <c r="A94" s="23"/>
      <c r="B94" s="23"/>
      <c r="C94" s="23"/>
      <c r="D94" s="23"/>
      <c r="E94" s="23"/>
      <c r="F94" s="23"/>
      <c r="G94" s="23"/>
      <c r="H94" s="22" t="str">
        <f>IFERROR(IF(COUNTIF('1. Farm Information'!A:A,A94)&gt;0,"✓","⚠ MISSING!")," ")</f>
        <v>⚠ MISSING!</v>
      </c>
      <c r="I94" s="26" t="str">
        <f t="shared" si="16"/>
        <v>OK</v>
      </c>
      <c r="J94" s="27" t="str">
        <f t="shared" si="17"/>
        <v>—</v>
      </c>
      <c r="K94" s="28" t="str">
        <f t="shared" si="18"/>
        <v>—</v>
      </c>
      <c r="L94" s="28" t="str">
        <f t="shared" si="19"/>
        <v>—</v>
      </c>
      <c r="M94" s="27" t="str">
        <f t="shared" si="20"/>
        <v>—</v>
      </c>
      <c r="N94" s="29" t="str">
        <f t="shared" si="21"/>
        <v>—</v>
      </c>
      <c r="O94" s="29" t="str">
        <f t="shared" si="22"/>
        <v>—</v>
      </c>
      <c r="P94" s="29" t="str">
        <f t="shared" si="23"/>
        <v>—</v>
      </c>
      <c r="Q94" s="31"/>
    </row>
    <row r="95" spans="1:17" ht="15.75" customHeight="1">
      <c r="A95" s="21"/>
      <c r="B95" s="21"/>
      <c r="C95" s="21"/>
      <c r="D95" s="21"/>
      <c r="E95" s="21"/>
      <c r="F95" s="21"/>
      <c r="G95" s="21"/>
      <c r="H95" s="22" t="str">
        <f>IFERROR(IF(COUNTIF('1. Farm Information'!A:A,A95)&gt;0,"✓","⚠ MISSING!")," ")</f>
        <v>⚠ MISSING!</v>
      </c>
      <c r="I95" s="26" t="str">
        <f t="shared" si="16"/>
        <v>OK</v>
      </c>
      <c r="J95" s="27" t="str">
        <f t="shared" si="17"/>
        <v>—</v>
      </c>
      <c r="K95" s="28" t="str">
        <f t="shared" si="18"/>
        <v>—</v>
      </c>
      <c r="L95" s="28" t="str">
        <f t="shared" si="19"/>
        <v>—</v>
      </c>
      <c r="M95" s="27" t="str">
        <f t="shared" si="20"/>
        <v>—</v>
      </c>
      <c r="N95" s="29" t="str">
        <f t="shared" si="21"/>
        <v>—</v>
      </c>
      <c r="O95" s="29" t="str">
        <f t="shared" si="22"/>
        <v>—</v>
      </c>
      <c r="P95" s="29" t="str">
        <f t="shared" si="23"/>
        <v>—</v>
      </c>
      <c r="Q95" s="30"/>
    </row>
    <row r="96" spans="1:17" ht="15.75" customHeight="1">
      <c r="A96" s="23"/>
      <c r="B96" s="23"/>
      <c r="C96" s="23"/>
      <c r="D96" s="23"/>
      <c r="E96" s="23"/>
      <c r="F96" s="23"/>
      <c r="G96" s="23"/>
      <c r="H96" s="22" t="str">
        <f>IFERROR(IF(COUNTIF('1. Farm Information'!A:A,A96)&gt;0,"✓","⚠ MISSING!")," ")</f>
        <v>⚠ MISSING!</v>
      </c>
      <c r="I96" s="26" t="str">
        <f t="shared" si="16"/>
        <v>OK</v>
      </c>
      <c r="J96" s="27" t="str">
        <f t="shared" si="17"/>
        <v>—</v>
      </c>
      <c r="K96" s="28" t="str">
        <f t="shared" si="18"/>
        <v>—</v>
      </c>
      <c r="L96" s="28" t="str">
        <f t="shared" si="19"/>
        <v>—</v>
      </c>
      <c r="M96" s="27" t="str">
        <f t="shared" si="20"/>
        <v>—</v>
      </c>
      <c r="N96" s="29" t="str">
        <f t="shared" si="21"/>
        <v>—</v>
      </c>
      <c r="O96" s="29" t="str">
        <f t="shared" si="22"/>
        <v>—</v>
      </c>
      <c r="P96" s="29" t="str">
        <f t="shared" si="23"/>
        <v>—</v>
      </c>
      <c r="Q96" s="31"/>
    </row>
    <row r="97" spans="1:17" ht="15.75" customHeight="1">
      <c r="A97" s="21"/>
      <c r="B97" s="21"/>
      <c r="C97" s="21"/>
      <c r="D97" s="21"/>
      <c r="E97" s="21"/>
      <c r="F97" s="21"/>
      <c r="G97" s="21"/>
      <c r="H97" s="22" t="str">
        <f>IFERROR(IF(COUNTIF('1. Farm Information'!A:A,A97)&gt;0,"✓","⚠ MISSING!")," ")</f>
        <v>⚠ MISSING!</v>
      </c>
      <c r="I97" s="26" t="str">
        <f t="shared" si="16"/>
        <v>OK</v>
      </c>
      <c r="J97" s="27" t="str">
        <f t="shared" si="17"/>
        <v>—</v>
      </c>
      <c r="K97" s="28" t="str">
        <f t="shared" si="18"/>
        <v>—</v>
      </c>
      <c r="L97" s="28" t="str">
        <f t="shared" si="19"/>
        <v>—</v>
      </c>
      <c r="M97" s="27" t="str">
        <f t="shared" si="20"/>
        <v>—</v>
      </c>
      <c r="N97" s="29" t="str">
        <f t="shared" si="21"/>
        <v>—</v>
      </c>
      <c r="O97" s="29" t="str">
        <f t="shared" si="22"/>
        <v>—</v>
      </c>
      <c r="P97" s="29" t="str">
        <f t="shared" si="23"/>
        <v>—</v>
      </c>
      <c r="Q97" s="30"/>
    </row>
    <row r="98" spans="1:17" ht="15.75" customHeight="1">
      <c r="A98" s="23"/>
      <c r="B98" s="23"/>
      <c r="C98" s="23"/>
      <c r="D98" s="23"/>
      <c r="E98" s="23"/>
      <c r="F98" s="23"/>
      <c r="G98" s="23"/>
      <c r="H98" s="22" t="str">
        <f>IFERROR(IF(COUNTIF('1. Farm Information'!A:A,A98)&gt;0,"✓","⚠ MISSING!")," ")</f>
        <v>⚠ MISSING!</v>
      </c>
      <c r="I98" s="26" t="str">
        <f t="shared" si="16"/>
        <v>OK</v>
      </c>
      <c r="J98" s="27" t="str">
        <f t="shared" si="17"/>
        <v>—</v>
      </c>
      <c r="K98" s="28" t="str">
        <f t="shared" si="18"/>
        <v>—</v>
      </c>
      <c r="L98" s="28" t="str">
        <f t="shared" si="19"/>
        <v>—</v>
      </c>
      <c r="M98" s="27" t="str">
        <f t="shared" si="20"/>
        <v>—</v>
      </c>
      <c r="N98" s="29" t="str">
        <f t="shared" si="21"/>
        <v>—</v>
      </c>
      <c r="O98" s="29" t="str">
        <f t="shared" si="22"/>
        <v>—</v>
      </c>
      <c r="P98" s="29" t="str">
        <f t="shared" si="23"/>
        <v>—</v>
      </c>
      <c r="Q98" s="31"/>
    </row>
    <row r="99" spans="1:17" ht="15.75" customHeight="1">
      <c r="A99" s="21"/>
      <c r="B99" s="21"/>
      <c r="C99" s="21"/>
      <c r="D99" s="21"/>
      <c r="E99" s="21"/>
      <c r="F99" s="21"/>
      <c r="G99" s="21"/>
      <c r="H99" s="22" t="str">
        <f>IFERROR(IF(COUNTIF('1. Farm Information'!A:A,A99)&gt;0,"✓","⚠ MISSING!")," ")</f>
        <v>⚠ MISSING!</v>
      </c>
      <c r="I99" s="26" t="str">
        <f t="shared" si="16"/>
        <v>OK</v>
      </c>
      <c r="J99" s="27" t="str">
        <f t="shared" si="17"/>
        <v>—</v>
      </c>
      <c r="K99" s="28" t="str">
        <f t="shared" si="18"/>
        <v>—</v>
      </c>
      <c r="L99" s="28" t="str">
        <f t="shared" si="19"/>
        <v>—</v>
      </c>
      <c r="M99" s="27" t="str">
        <f t="shared" si="20"/>
        <v>—</v>
      </c>
      <c r="N99" s="29" t="str">
        <f t="shared" si="21"/>
        <v>—</v>
      </c>
      <c r="O99" s="29" t="str">
        <f t="shared" si="22"/>
        <v>—</v>
      </c>
      <c r="P99" s="29" t="str">
        <f t="shared" si="23"/>
        <v>—</v>
      </c>
      <c r="Q99" s="30"/>
    </row>
    <row r="100" spans="1:17" ht="15.75" customHeight="1">
      <c r="A100" s="23"/>
      <c r="B100" s="23"/>
      <c r="C100" s="23"/>
      <c r="D100" s="23"/>
      <c r="E100" s="23"/>
      <c r="F100" s="23"/>
      <c r="G100" s="23"/>
      <c r="H100" s="22" t="str">
        <f>IFERROR(IF(COUNTIF('1. Farm Information'!A:A,A100)&gt;0,"✓","⚠ MISSING!")," ")</f>
        <v>⚠ MISSING!</v>
      </c>
      <c r="I100" s="26" t="str">
        <f t="shared" si="16"/>
        <v>OK</v>
      </c>
      <c r="J100" s="27" t="str">
        <f t="shared" si="17"/>
        <v>—</v>
      </c>
      <c r="K100" s="28" t="str">
        <f t="shared" si="18"/>
        <v>—</v>
      </c>
      <c r="L100" s="28" t="str">
        <f t="shared" si="19"/>
        <v>—</v>
      </c>
      <c r="M100" s="27" t="str">
        <f t="shared" si="20"/>
        <v>—</v>
      </c>
      <c r="N100" s="29" t="str">
        <f t="shared" si="21"/>
        <v>—</v>
      </c>
      <c r="O100" s="29" t="str">
        <f t="shared" si="22"/>
        <v>—</v>
      </c>
      <c r="P100" s="29" t="str">
        <f t="shared" si="23"/>
        <v>—</v>
      </c>
      <c r="Q100" s="31"/>
    </row>
    <row r="101" spans="1:17" ht="15.75" customHeight="1">
      <c r="A101" s="21"/>
      <c r="B101" s="21"/>
      <c r="C101" s="21"/>
      <c r="D101" s="21"/>
      <c r="E101" s="21"/>
      <c r="F101" s="21"/>
      <c r="G101" s="21"/>
      <c r="H101" s="22" t="str">
        <f>IFERROR(IF(COUNTIF('1. Farm Information'!A:A,A101)&gt;0,"✓","⚠ MISSING!")," ")</f>
        <v>⚠ MISSING!</v>
      </c>
      <c r="I101" s="26" t="str">
        <f t="shared" si="16"/>
        <v>OK</v>
      </c>
      <c r="J101" s="27" t="str">
        <f t="shared" si="17"/>
        <v>—</v>
      </c>
      <c r="K101" s="28" t="str">
        <f t="shared" si="18"/>
        <v>—</v>
      </c>
      <c r="L101" s="28" t="str">
        <f t="shared" si="19"/>
        <v>—</v>
      </c>
      <c r="M101" s="27" t="str">
        <f t="shared" si="20"/>
        <v>—</v>
      </c>
      <c r="N101" s="29" t="str">
        <f t="shared" si="21"/>
        <v>—</v>
      </c>
      <c r="O101" s="29" t="str">
        <f t="shared" si="22"/>
        <v>—</v>
      </c>
      <c r="P101" s="29" t="str">
        <f t="shared" si="23"/>
        <v>—</v>
      </c>
      <c r="Q101" s="30"/>
    </row>
    <row r="102" spans="1:17" ht="15.75" customHeight="1">
      <c r="A102" s="23"/>
      <c r="B102" s="23"/>
      <c r="C102" s="23"/>
      <c r="D102" s="23"/>
      <c r="E102" s="23"/>
      <c r="F102" s="23"/>
      <c r="G102" s="23"/>
      <c r="H102" s="22" t="str">
        <f>IFERROR(IF(COUNTIF('1. Farm Information'!A:A,A102)&gt;0,"✓","⚠ MISSING!")," ")</f>
        <v>⚠ MISSING!</v>
      </c>
      <c r="I102" s="26" t="str">
        <f t="shared" si="16"/>
        <v>OK</v>
      </c>
      <c r="J102" s="27" t="str">
        <f t="shared" si="17"/>
        <v>—</v>
      </c>
      <c r="K102" s="28" t="str">
        <f t="shared" si="18"/>
        <v>—</v>
      </c>
      <c r="L102" s="28" t="str">
        <f t="shared" si="19"/>
        <v>—</v>
      </c>
      <c r="M102" s="27" t="str">
        <f t="shared" si="20"/>
        <v>—</v>
      </c>
      <c r="N102" s="29" t="str">
        <f t="shared" si="21"/>
        <v>—</v>
      </c>
      <c r="O102" s="29" t="str">
        <f t="shared" si="22"/>
        <v>—</v>
      </c>
      <c r="P102" s="29" t="str">
        <f t="shared" si="23"/>
        <v>—</v>
      </c>
      <c r="Q102" s="31"/>
    </row>
    <row r="103" spans="1:17" ht="15.75" customHeight="1">
      <c r="A103" s="21"/>
      <c r="B103" s="21"/>
      <c r="C103" s="21"/>
      <c r="D103" s="21"/>
      <c r="E103" s="21"/>
      <c r="F103" s="21"/>
      <c r="G103" s="21"/>
      <c r="H103" s="22" t="str">
        <f>IFERROR(IF(COUNTIF('1. Farm Information'!A:A,A103)&gt;0,"✓","⚠ MISSING!")," ")</f>
        <v>⚠ MISSING!</v>
      </c>
      <c r="I103" s="26" t="str">
        <f t="shared" si="16"/>
        <v>OK</v>
      </c>
      <c r="J103" s="27" t="str">
        <f t="shared" si="17"/>
        <v>—</v>
      </c>
      <c r="K103" s="28" t="str">
        <f t="shared" si="18"/>
        <v>—</v>
      </c>
      <c r="L103" s="28" t="str">
        <f t="shared" si="19"/>
        <v>—</v>
      </c>
      <c r="M103" s="27" t="str">
        <f t="shared" si="20"/>
        <v>—</v>
      </c>
      <c r="N103" s="29" t="str">
        <f t="shared" si="21"/>
        <v>—</v>
      </c>
      <c r="O103" s="29" t="str">
        <f t="shared" si="22"/>
        <v>—</v>
      </c>
      <c r="P103" s="29" t="str">
        <f t="shared" si="23"/>
        <v>—</v>
      </c>
      <c r="Q103" s="30"/>
    </row>
    <row r="104" spans="1:17" ht="15.75" customHeight="1">
      <c r="A104" s="23"/>
      <c r="B104" s="23"/>
      <c r="C104" s="23"/>
      <c r="D104" s="23"/>
      <c r="E104" s="23"/>
      <c r="F104" s="23"/>
      <c r="G104" s="23"/>
      <c r="H104" s="22" t="str">
        <f>IFERROR(IF(COUNTIF('1. Farm Information'!A:A,A104)&gt;0,"✓","⚠ MISSING!")," ")</f>
        <v>⚠ MISSING!</v>
      </c>
      <c r="I104" s="26" t="str">
        <f t="shared" si="16"/>
        <v>OK</v>
      </c>
      <c r="J104" s="27" t="str">
        <f t="shared" si="17"/>
        <v>—</v>
      </c>
      <c r="K104" s="28" t="str">
        <f t="shared" si="18"/>
        <v>—</v>
      </c>
      <c r="L104" s="28" t="str">
        <f t="shared" si="19"/>
        <v>—</v>
      </c>
      <c r="M104" s="27" t="str">
        <f t="shared" si="20"/>
        <v>—</v>
      </c>
      <c r="N104" s="29" t="str">
        <f t="shared" si="21"/>
        <v>—</v>
      </c>
      <c r="O104" s="29" t="str">
        <f t="shared" si="22"/>
        <v>—</v>
      </c>
      <c r="P104" s="29" t="str">
        <f t="shared" si="23"/>
        <v>—</v>
      </c>
      <c r="Q104" s="31"/>
    </row>
  </sheetData>
  <mergeCells count="3">
    <mergeCell ref="A1:Q1"/>
    <mergeCell ref="A2:G2"/>
    <mergeCell ref="H2:Q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4"/>
  <sheetViews>
    <sheetView showGridLines="0" zoomScaleNormal="100" workbookViewId="0">
      <pane ySplit="4" topLeftCell="A5" activePane="bottomLeft" state="frozen"/>
      <selection pane="bottomLeft" sqref="A1:J1"/>
    </sheetView>
  </sheetViews>
  <sheetFormatPr defaultColWidth="8.7109375" defaultRowHeight="14.25"/>
  <cols>
    <col min="1" max="2" width="18" customWidth="1"/>
    <col min="3" max="3" width="14" customWidth="1"/>
    <col min="4" max="5" width="20" customWidth="1"/>
    <col min="6" max="7" width="13" customWidth="1"/>
    <col min="8" max="8" width="14" customWidth="1"/>
    <col min="9" max="9" width="12" customWidth="1"/>
    <col min="10" max="10" width="22" customWidth="1"/>
  </cols>
  <sheetData>
    <row r="1" spans="1:10" ht="24" customHeight="1">
      <c r="A1" s="43" t="s">
        <v>263</v>
      </c>
      <c r="B1" s="43"/>
      <c r="C1" s="43"/>
      <c r="D1" s="43"/>
      <c r="E1" s="43"/>
      <c r="F1" s="43"/>
      <c r="G1" s="43"/>
      <c r="H1" s="43"/>
      <c r="I1" s="43"/>
      <c r="J1" s="43"/>
    </row>
    <row r="2" spans="1:10" ht="21.75" customHeight="1">
      <c r="A2" s="45" t="s">
        <v>264</v>
      </c>
      <c r="B2" s="45"/>
      <c r="C2" s="45"/>
      <c r="D2" s="45"/>
      <c r="E2" s="45"/>
      <c r="F2" s="48" t="s">
        <v>265</v>
      </c>
      <c r="G2" s="48"/>
      <c r="H2" s="48"/>
      <c r="I2" s="48"/>
      <c r="J2" s="48"/>
    </row>
    <row r="3" spans="1:10" ht="51.75" customHeight="1">
      <c r="A3" s="17" t="s">
        <v>181</v>
      </c>
      <c r="B3" s="18" t="s">
        <v>266</v>
      </c>
      <c r="C3" s="18" t="s">
        <v>267</v>
      </c>
      <c r="D3" s="18" t="s">
        <v>268</v>
      </c>
      <c r="E3" s="18" t="s">
        <v>269</v>
      </c>
      <c r="F3" s="24" t="s">
        <v>270</v>
      </c>
      <c r="G3" s="24" t="s">
        <v>271</v>
      </c>
      <c r="H3" s="24" t="s">
        <v>272</v>
      </c>
      <c r="I3" s="24" t="s">
        <v>273</v>
      </c>
      <c r="J3" s="25" t="s">
        <v>254</v>
      </c>
    </row>
    <row r="4" spans="1:10" ht="39.75" customHeight="1">
      <c r="A4" s="20" t="s">
        <v>209</v>
      </c>
      <c r="B4" s="20" t="s">
        <v>274</v>
      </c>
      <c r="C4" s="20" t="s">
        <v>257</v>
      </c>
      <c r="D4" s="20" t="s">
        <v>275</v>
      </c>
      <c r="E4" s="20" t="s">
        <v>276</v>
      </c>
      <c r="F4" s="20" t="s">
        <v>261</v>
      </c>
      <c r="G4" s="20" t="s">
        <v>261</v>
      </c>
      <c r="H4" s="20" t="s">
        <v>261</v>
      </c>
      <c r="I4" s="20" t="s">
        <v>261</v>
      </c>
      <c r="J4" s="20" t="s">
        <v>262</v>
      </c>
    </row>
    <row r="5" spans="1:10" ht="15.75" customHeight="1">
      <c r="A5" s="21"/>
      <c r="B5" s="21"/>
      <c r="C5" s="21"/>
      <c r="D5" s="21"/>
      <c r="E5" s="21"/>
      <c r="F5" s="22" t="str">
        <f>IFERROR(IF(COUNTIF('1. Farm Information'!A:A,A5)&gt;0,"✓","⚠ MISSING!")," ")</f>
        <v>⚠ MISSING!</v>
      </c>
      <c r="G5" s="26" t="str">
        <f t="shared" ref="G5:G36" si="0">IFERROR(IF(D5="","",IF(AND(ISNUMBER(D5),D5&gt;=-90,D5&lt;=90),"✓ Valid","⚠ Check value"))," ")</f>
        <v/>
      </c>
      <c r="H5" s="26" t="str">
        <f t="shared" ref="H5:H36" si="1">IFERROR(IF(E5="","",IF(AND(ISNUMBER(E5),E5&gt;=-180,E5&lt;=180),"✓ Valid","⚠ Check value"))," ")</f>
        <v/>
      </c>
      <c r="I5" s="32" t="str">
        <f t="shared" ref="I5:I36" si="2">IFERROR(IF(A5 = "", "", IF(C5 = _xlfn.SINGLE(_xlfn.MAXIFS(C:C, A:A, A5)), "★ Largest", "")), " ")</f>
        <v/>
      </c>
      <c r="J5" s="30"/>
    </row>
    <row r="6" spans="1:10" ht="15.75" customHeight="1">
      <c r="A6" s="23"/>
      <c r="B6" s="23"/>
      <c r="C6" s="23"/>
      <c r="D6" s="23"/>
      <c r="E6" s="23"/>
      <c r="F6" s="22" t="str">
        <f>IFERROR(IF(COUNTIF('1. Farm Information'!A:A,A6)&gt;0,"✓","⚠ MISSING!")," ")</f>
        <v>⚠ MISSING!</v>
      </c>
      <c r="G6" s="26" t="str">
        <f t="shared" si="0"/>
        <v/>
      </c>
      <c r="H6" s="26" t="str">
        <f t="shared" si="1"/>
        <v/>
      </c>
      <c r="I6" s="32" t="str">
        <f t="shared" si="2"/>
        <v/>
      </c>
      <c r="J6" s="31"/>
    </row>
    <row r="7" spans="1:10" ht="15.75" customHeight="1">
      <c r="A7" s="21"/>
      <c r="B7" s="21"/>
      <c r="C7" s="21"/>
      <c r="D7" s="21"/>
      <c r="E7" s="21"/>
      <c r="F7" s="22" t="str">
        <f>IFERROR(IF(COUNTIF('1. Farm Information'!A:A,A7)&gt;0,"✓","⚠ MISSING!")," ")</f>
        <v>⚠ MISSING!</v>
      </c>
      <c r="G7" s="26" t="str">
        <f t="shared" si="0"/>
        <v/>
      </c>
      <c r="H7" s="26" t="str">
        <f t="shared" si="1"/>
        <v/>
      </c>
      <c r="I7" s="32" t="str">
        <f t="shared" si="2"/>
        <v/>
      </c>
      <c r="J7" s="30"/>
    </row>
    <row r="8" spans="1:10" ht="15.75" customHeight="1">
      <c r="A8" s="23"/>
      <c r="B8" s="23"/>
      <c r="C8" s="23"/>
      <c r="D8" s="23"/>
      <c r="E8" s="23"/>
      <c r="F8" s="22" t="str">
        <f>IFERROR(IF(COUNTIF('1. Farm Information'!A:A,A8)&gt;0,"✓","⚠ MISSING!")," ")</f>
        <v>⚠ MISSING!</v>
      </c>
      <c r="G8" s="26" t="str">
        <f t="shared" si="0"/>
        <v/>
      </c>
      <c r="H8" s="26" t="str">
        <f t="shared" si="1"/>
        <v/>
      </c>
      <c r="I8" s="32" t="str">
        <f t="shared" si="2"/>
        <v/>
      </c>
      <c r="J8" s="31"/>
    </row>
    <row r="9" spans="1:10" ht="15.75" customHeight="1">
      <c r="A9" s="21"/>
      <c r="B9" s="21"/>
      <c r="C9" s="21"/>
      <c r="D9" s="21"/>
      <c r="E9" s="21"/>
      <c r="F9" s="22" t="str">
        <f>IFERROR(IF(COUNTIF('1. Farm Information'!A:A,A9)&gt;0,"✓","⚠ MISSING!")," ")</f>
        <v>⚠ MISSING!</v>
      </c>
      <c r="G9" s="26" t="str">
        <f t="shared" si="0"/>
        <v/>
      </c>
      <c r="H9" s="26" t="str">
        <f t="shared" si="1"/>
        <v/>
      </c>
      <c r="I9" s="32" t="str">
        <f t="shared" si="2"/>
        <v/>
      </c>
      <c r="J9" s="30"/>
    </row>
    <row r="10" spans="1:10" ht="15.75" customHeight="1">
      <c r="A10" s="23"/>
      <c r="B10" s="23"/>
      <c r="C10" s="23"/>
      <c r="D10" s="23"/>
      <c r="E10" s="23"/>
      <c r="F10" s="22" t="str">
        <f>IFERROR(IF(COUNTIF('1. Farm Information'!A:A,A10)&gt;0,"✓","⚠ MISSING!")," ")</f>
        <v>⚠ MISSING!</v>
      </c>
      <c r="G10" s="26" t="str">
        <f t="shared" si="0"/>
        <v/>
      </c>
      <c r="H10" s="26" t="str">
        <f t="shared" si="1"/>
        <v/>
      </c>
      <c r="I10" s="32" t="str">
        <f t="shared" si="2"/>
        <v/>
      </c>
      <c r="J10" s="31"/>
    </row>
    <row r="11" spans="1:10" ht="15.75" customHeight="1">
      <c r="A11" s="21"/>
      <c r="B11" s="21"/>
      <c r="C11" s="21"/>
      <c r="D11" s="21"/>
      <c r="E11" s="21"/>
      <c r="F11" s="22" t="str">
        <f>IFERROR(IF(COUNTIF('1. Farm Information'!A:A,A11)&gt;0,"✓","⚠ MISSING!")," ")</f>
        <v>⚠ MISSING!</v>
      </c>
      <c r="G11" s="26" t="str">
        <f t="shared" si="0"/>
        <v/>
      </c>
      <c r="H11" s="26" t="str">
        <f t="shared" si="1"/>
        <v/>
      </c>
      <c r="I11" s="32" t="str">
        <f t="shared" si="2"/>
        <v/>
      </c>
      <c r="J11" s="30"/>
    </row>
    <row r="12" spans="1:10" ht="15.75" customHeight="1">
      <c r="A12" s="23"/>
      <c r="B12" s="23"/>
      <c r="C12" s="23"/>
      <c r="D12" s="23"/>
      <c r="E12" s="23"/>
      <c r="F12" s="22" t="str">
        <f>IFERROR(IF(COUNTIF('1. Farm Information'!A:A,A12)&gt;0,"✓","⚠ MISSING!")," ")</f>
        <v>⚠ MISSING!</v>
      </c>
      <c r="G12" s="26" t="str">
        <f t="shared" si="0"/>
        <v/>
      </c>
      <c r="H12" s="26" t="str">
        <f t="shared" si="1"/>
        <v/>
      </c>
      <c r="I12" s="32" t="str">
        <f t="shared" si="2"/>
        <v/>
      </c>
      <c r="J12" s="31"/>
    </row>
    <row r="13" spans="1:10" ht="15.75" customHeight="1">
      <c r="A13" s="21"/>
      <c r="B13" s="21"/>
      <c r="C13" s="21"/>
      <c r="D13" s="21"/>
      <c r="E13" s="21"/>
      <c r="F13" s="22" t="str">
        <f>IFERROR(IF(COUNTIF('1. Farm Information'!A:A,A13)&gt;0,"✓","⚠ MISSING!")," ")</f>
        <v>⚠ MISSING!</v>
      </c>
      <c r="G13" s="26" t="str">
        <f t="shared" si="0"/>
        <v/>
      </c>
      <c r="H13" s="26" t="str">
        <f t="shared" si="1"/>
        <v/>
      </c>
      <c r="I13" s="32" t="str">
        <f t="shared" si="2"/>
        <v/>
      </c>
      <c r="J13" s="30"/>
    </row>
    <row r="14" spans="1:10" ht="15.75" customHeight="1">
      <c r="A14" s="23"/>
      <c r="B14" s="23"/>
      <c r="C14" s="23"/>
      <c r="D14" s="23"/>
      <c r="E14" s="23"/>
      <c r="F14" s="22" t="str">
        <f>IFERROR(IF(COUNTIF('1. Farm Information'!A:A,A14)&gt;0,"✓","⚠ MISSING!")," ")</f>
        <v>⚠ MISSING!</v>
      </c>
      <c r="G14" s="26" t="str">
        <f t="shared" si="0"/>
        <v/>
      </c>
      <c r="H14" s="26" t="str">
        <f t="shared" si="1"/>
        <v/>
      </c>
      <c r="I14" s="32" t="str">
        <f t="shared" si="2"/>
        <v/>
      </c>
      <c r="J14" s="31"/>
    </row>
    <row r="15" spans="1:10" ht="15.75" customHeight="1">
      <c r="A15" s="21"/>
      <c r="B15" s="21"/>
      <c r="C15" s="21"/>
      <c r="D15" s="21"/>
      <c r="E15" s="21"/>
      <c r="F15" s="22" t="str">
        <f>IFERROR(IF(COUNTIF('1. Farm Information'!A:A,A15)&gt;0,"✓","⚠ MISSING!")," ")</f>
        <v>⚠ MISSING!</v>
      </c>
      <c r="G15" s="26" t="str">
        <f t="shared" si="0"/>
        <v/>
      </c>
      <c r="H15" s="26" t="str">
        <f t="shared" si="1"/>
        <v/>
      </c>
      <c r="I15" s="32" t="str">
        <f t="shared" si="2"/>
        <v/>
      </c>
      <c r="J15" s="30"/>
    </row>
    <row r="16" spans="1:10" ht="15.75" customHeight="1">
      <c r="A16" s="23"/>
      <c r="B16" s="23"/>
      <c r="C16" s="23"/>
      <c r="D16" s="23"/>
      <c r="E16" s="23"/>
      <c r="F16" s="22" t="str">
        <f>IFERROR(IF(COUNTIF('1. Farm Information'!A:A,A16)&gt;0,"✓","⚠ MISSING!")," ")</f>
        <v>⚠ MISSING!</v>
      </c>
      <c r="G16" s="26" t="str">
        <f t="shared" si="0"/>
        <v/>
      </c>
      <c r="H16" s="26" t="str">
        <f t="shared" si="1"/>
        <v/>
      </c>
      <c r="I16" s="32" t="str">
        <f t="shared" si="2"/>
        <v/>
      </c>
      <c r="J16" s="31"/>
    </row>
    <row r="17" spans="1:10" ht="15.75" customHeight="1">
      <c r="A17" s="21"/>
      <c r="B17" s="21"/>
      <c r="C17" s="21"/>
      <c r="D17" s="21"/>
      <c r="E17" s="21"/>
      <c r="F17" s="22" t="str">
        <f>IFERROR(IF(COUNTIF('1. Farm Information'!A:A,A17)&gt;0,"✓","⚠ MISSING!")," ")</f>
        <v>⚠ MISSING!</v>
      </c>
      <c r="G17" s="26" t="str">
        <f t="shared" si="0"/>
        <v/>
      </c>
      <c r="H17" s="26" t="str">
        <f t="shared" si="1"/>
        <v/>
      </c>
      <c r="I17" s="32" t="str">
        <f t="shared" si="2"/>
        <v/>
      </c>
      <c r="J17" s="30"/>
    </row>
    <row r="18" spans="1:10" ht="15.75" customHeight="1">
      <c r="A18" s="23"/>
      <c r="B18" s="23"/>
      <c r="C18" s="23"/>
      <c r="D18" s="23"/>
      <c r="E18" s="23"/>
      <c r="F18" s="22" t="str">
        <f>IFERROR(IF(COUNTIF('1. Farm Information'!A:A,A18)&gt;0,"✓","⚠ MISSING!")," ")</f>
        <v>⚠ MISSING!</v>
      </c>
      <c r="G18" s="26" t="str">
        <f t="shared" si="0"/>
        <v/>
      </c>
      <c r="H18" s="26" t="str">
        <f t="shared" si="1"/>
        <v/>
      </c>
      <c r="I18" s="32" t="str">
        <f t="shared" si="2"/>
        <v/>
      </c>
      <c r="J18" s="31"/>
    </row>
    <row r="19" spans="1:10" ht="15.75" customHeight="1">
      <c r="A19" s="21"/>
      <c r="B19" s="21"/>
      <c r="C19" s="21"/>
      <c r="D19" s="21"/>
      <c r="E19" s="21"/>
      <c r="F19" s="22" t="str">
        <f>IFERROR(IF(COUNTIF('1. Farm Information'!A:A,A19)&gt;0,"✓","⚠ MISSING!")," ")</f>
        <v>⚠ MISSING!</v>
      </c>
      <c r="G19" s="26" t="str">
        <f t="shared" si="0"/>
        <v/>
      </c>
      <c r="H19" s="26" t="str">
        <f t="shared" si="1"/>
        <v/>
      </c>
      <c r="I19" s="32" t="str">
        <f t="shared" si="2"/>
        <v/>
      </c>
      <c r="J19" s="30"/>
    </row>
    <row r="20" spans="1:10" ht="15.75" customHeight="1">
      <c r="A20" s="23"/>
      <c r="B20" s="23"/>
      <c r="C20" s="23"/>
      <c r="D20" s="23"/>
      <c r="E20" s="23"/>
      <c r="F20" s="22" t="str">
        <f>IFERROR(IF(COUNTIF('1. Farm Information'!A:A,A20)&gt;0,"✓","⚠ MISSING!")," ")</f>
        <v>⚠ MISSING!</v>
      </c>
      <c r="G20" s="26" t="str">
        <f t="shared" si="0"/>
        <v/>
      </c>
      <c r="H20" s="26" t="str">
        <f t="shared" si="1"/>
        <v/>
      </c>
      <c r="I20" s="32" t="str">
        <f t="shared" si="2"/>
        <v/>
      </c>
      <c r="J20" s="31"/>
    </row>
    <row r="21" spans="1:10" ht="15.75" customHeight="1">
      <c r="A21" s="21"/>
      <c r="B21" s="21"/>
      <c r="C21" s="21"/>
      <c r="D21" s="21"/>
      <c r="E21" s="21"/>
      <c r="F21" s="22" t="str">
        <f>IFERROR(IF(COUNTIF('1. Farm Information'!A:A,A21)&gt;0,"✓","⚠ MISSING!")," ")</f>
        <v>⚠ MISSING!</v>
      </c>
      <c r="G21" s="26" t="str">
        <f t="shared" si="0"/>
        <v/>
      </c>
      <c r="H21" s="26" t="str">
        <f t="shared" si="1"/>
        <v/>
      </c>
      <c r="I21" s="32" t="str">
        <f t="shared" si="2"/>
        <v/>
      </c>
      <c r="J21" s="30"/>
    </row>
    <row r="22" spans="1:10" ht="15.75" customHeight="1">
      <c r="A22" s="23"/>
      <c r="B22" s="23"/>
      <c r="C22" s="23"/>
      <c r="D22" s="23"/>
      <c r="E22" s="23"/>
      <c r="F22" s="22" t="str">
        <f>IFERROR(IF(COUNTIF('1. Farm Information'!A:A,A22)&gt;0,"✓","⚠ MISSING!")," ")</f>
        <v>⚠ MISSING!</v>
      </c>
      <c r="G22" s="26" t="str">
        <f t="shared" si="0"/>
        <v/>
      </c>
      <c r="H22" s="26" t="str">
        <f t="shared" si="1"/>
        <v/>
      </c>
      <c r="I22" s="32" t="str">
        <f t="shared" si="2"/>
        <v/>
      </c>
      <c r="J22" s="31"/>
    </row>
    <row r="23" spans="1:10" ht="15.75" customHeight="1">
      <c r="A23" s="21"/>
      <c r="B23" s="21"/>
      <c r="C23" s="21"/>
      <c r="D23" s="21"/>
      <c r="E23" s="21"/>
      <c r="F23" s="22" t="str">
        <f>IFERROR(IF(COUNTIF('1. Farm Information'!A:A,A23)&gt;0,"✓","⚠ MISSING!")," ")</f>
        <v>⚠ MISSING!</v>
      </c>
      <c r="G23" s="26" t="str">
        <f t="shared" si="0"/>
        <v/>
      </c>
      <c r="H23" s="26" t="str">
        <f t="shared" si="1"/>
        <v/>
      </c>
      <c r="I23" s="32" t="str">
        <f t="shared" si="2"/>
        <v/>
      </c>
      <c r="J23" s="30"/>
    </row>
    <row r="24" spans="1:10" ht="15.75" customHeight="1">
      <c r="A24" s="23"/>
      <c r="B24" s="23"/>
      <c r="C24" s="23"/>
      <c r="D24" s="23"/>
      <c r="E24" s="23"/>
      <c r="F24" s="22" t="str">
        <f>IFERROR(IF(COUNTIF('1. Farm Information'!A:A,A24)&gt;0,"✓","⚠ MISSING!")," ")</f>
        <v>⚠ MISSING!</v>
      </c>
      <c r="G24" s="26" t="str">
        <f t="shared" si="0"/>
        <v/>
      </c>
      <c r="H24" s="26" t="str">
        <f t="shared" si="1"/>
        <v/>
      </c>
      <c r="I24" s="32" t="str">
        <f t="shared" si="2"/>
        <v/>
      </c>
      <c r="J24" s="31"/>
    </row>
    <row r="25" spans="1:10" ht="15.75" customHeight="1">
      <c r="A25" s="21"/>
      <c r="B25" s="21"/>
      <c r="C25" s="21"/>
      <c r="D25" s="21"/>
      <c r="E25" s="21"/>
      <c r="F25" s="22" t="str">
        <f>IFERROR(IF(COUNTIF('1. Farm Information'!A:A,A25)&gt;0,"✓","⚠ MISSING!")," ")</f>
        <v>⚠ MISSING!</v>
      </c>
      <c r="G25" s="26" t="str">
        <f t="shared" si="0"/>
        <v/>
      </c>
      <c r="H25" s="26" t="str">
        <f t="shared" si="1"/>
        <v/>
      </c>
      <c r="I25" s="32" t="str">
        <f t="shared" si="2"/>
        <v/>
      </c>
      <c r="J25" s="30"/>
    </row>
    <row r="26" spans="1:10" ht="15.75" customHeight="1">
      <c r="A26" s="23"/>
      <c r="B26" s="23"/>
      <c r="C26" s="23"/>
      <c r="D26" s="23"/>
      <c r="E26" s="23"/>
      <c r="F26" s="22" t="str">
        <f>IFERROR(IF(COUNTIF('1. Farm Information'!A:A,A26)&gt;0,"✓","⚠ MISSING!")," ")</f>
        <v>⚠ MISSING!</v>
      </c>
      <c r="G26" s="26" t="str">
        <f t="shared" si="0"/>
        <v/>
      </c>
      <c r="H26" s="26" t="str">
        <f t="shared" si="1"/>
        <v/>
      </c>
      <c r="I26" s="32" t="str">
        <f t="shared" si="2"/>
        <v/>
      </c>
      <c r="J26" s="31"/>
    </row>
    <row r="27" spans="1:10" ht="15.75" customHeight="1">
      <c r="A27" s="21"/>
      <c r="B27" s="21"/>
      <c r="C27" s="21"/>
      <c r="D27" s="21"/>
      <c r="E27" s="21"/>
      <c r="F27" s="22" t="str">
        <f>IFERROR(IF(COUNTIF('1. Farm Information'!A:A,A27)&gt;0,"✓","⚠ MISSING!")," ")</f>
        <v>⚠ MISSING!</v>
      </c>
      <c r="G27" s="26" t="str">
        <f t="shared" si="0"/>
        <v/>
      </c>
      <c r="H27" s="26" t="str">
        <f t="shared" si="1"/>
        <v/>
      </c>
      <c r="I27" s="32" t="str">
        <f t="shared" si="2"/>
        <v/>
      </c>
      <c r="J27" s="30"/>
    </row>
    <row r="28" spans="1:10" ht="15.75" customHeight="1">
      <c r="A28" s="23"/>
      <c r="B28" s="23"/>
      <c r="C28" s="23"/>
      <c r="D28" s="23"/>
      <c r="E28" s="23"/>
      <c r="F28" s="22" t="str">
        <f>IFERROR(IF(COUNTIF('1. Farm Information'!A:A,A28)&gt;0,"✓","⚠ MISSING!")," ")</f>
        <v>⚠ MISSING!</v>
      </c>
      <c r="G28" s="26" t="str">
        <f t="shared" si="0"/>
        <v/>
      </c>
      <c r="H28" s="26" t="str">
        <f t="shared" si="1"/>
        <v/>
      </c>
      <c r="I28" s="32" t="str">
        <f t="shared" si="2"/>
        <v/>
      </c>
      <c r="J28" s="31"/>
    </row>
    <row r="29" spans="1:10" ht="15.75" customHeight="1">
      <c r="A29" s="21"/>
      <c r="B29" s="21"/>
      <c r="C29" s="21"/>
      <c r="D29" s="21"/>
      <c r="E29" s="21"/>
      <c r="F29" s="22" t="str">
        <f>IFERROR(IF(COUNTIF('1. Farm Information'!A:A,A29)&gt;0,"✓","⚠ MISSING!")," ")</f>
        <v>⚠ MISSING!</v>
      </c>
      <c r="G29" s="26" t="str">
        <f t="shared" si="0"/>
        <v/>
      </c>
      <c r="H29" s="26" t="str">
        <f t="shared" si="1"/>
        <v/>
      </c>
      <c r="I29" s="32" t="str">
        <f t="shared" si="2"/>
        <v/>
      </c>
      <c r="J29" s="30"/>
    </row>
    <row r="30" spans="1:10" ht="15.75" customHeight="1">
      <c r="A30" s="23"/>
      <c r="B30" s="23"/>
      <c r="C30" s="23"/>
      <c r="D30" s="23"/>
      <c r="E30" s="23"/>
      <c r="F30" s="22" t="str">
        <f>IFERROR(IF(COUNTIF('1. Farm Information'!A:A,A30)&gt;0,"✓","⚠ MISSING!")," ")</f>
        <v>⚠ MISSING!</v>
      </c>
      <c r="G30" s="26" t="str">
        <f t="shared" si="0"/>
        <v/>
      </c>
      <c r="H30" s="26" t="str">
        <f t="shared" si="1"/>
        <v/>
      </c>
      <c r="I30" s="32" t="str">
        <f t="shared" si="2"/>
        <v/>
      </c>
      <c r="J30" s="31"/>
    </row>
    <row r="31" spans="1:10" ht="15.75" customHeight="1">
      <c r="A31" s="21"/>
      <c r="B31" s="21"/>
      <c r="C31" s="21"/>
      <c r="D31" s="21"/>
      <c r="E31" s="21"/>
      <c r="F31" s="22" t="str">
        <f>IFERROR(IF(COUNTIF('1. Farm Information'!A:A,A31)&gt;0,"✓","⚠ MISSING!")," ")</f>
        <v>⚠ MISSING!</v>
      </c>
      <c r="G31" s="26" t="str">
        <f t="shared" si="0"/>
        <v/>
      </c>
      <c r="H31" s="26" t="str">
        <f t="shared" si="1"/>
        <v/>
      </c>
      <c r="I31" s="32" t="str">
        <f t="shared" si="2"/>
        <v/>
      </c>
      <c r="J31" s="30"/>
    </row>
    <row r="32" spans="1:10" ht="15.75" customHeight="1">
      <c r="A32" s="23"/>
      <c r="B32" s="23"/>
      <c r="C32" s="23"/>
      <c r="D32" s="23"/>
      <c r="E32" s="23"/>
      <c r="F32" s="22" t="str">
        <f>IFERROR(IF(COUNTIF('1. Farm Information'!A:A,A32)&gt;0,"✓","⚠ MISSING!")," ")</f>
        <v>⚠ MISSING!</v>
      </c>
      <c r="G32" s="26" t="str">
        <f t="shared" si="0"/>
        <v/>
      </c>
      <c r="H32" s="26" t="str">
        <f t="shared" si="1"/>
        <v/>
      </c>
      <c r="I32" s="32" t="str">
        <f t="shared" si="2"/>
        <v/>
      </c>
      <c r="J32" s="31"/>
    </row>
    <row r="33" spans="1:10" ht="15.75" customHeight="1">
      <c r="A33" s="21"/>
      <c r="B33" s="21"/>
      <c r="C33" s="21"/>
      <c r="D33" s="21"/>
      <c r="E33" s="21"/>
      <c r="F33" s="22" t="str">
        <f>IFERROR(IF(COUNTIF('1. Farm Information'!A:A,A33)&gt;0,"✓","⚠ MISSING!")," ")</f>
        <v>⚠ MISSING!</v>
      </c>
      <c r="G33" s="26" t="str">
        <f t="shared" si="0"/>
        <v/>
      </c>
      <c r="H33" s="26" t="str">
        <f t="shared" si="1"/>
        <v/>
      </c>
      <c r="I33" s="32" t="str">
        <f t="shared" si="2"/>
        <v/>
      </c>
      <c r="J33" s="30"/>
    </row>
    <row r="34" spans="1:10" ht="15.75" customHeight="1">
      <c r="A34" s="23"/>
      <c r="B34" s="23"/>
      <c r="C34" s="23"/>
      <c r="D34" s="23"/>
      <c r="E34" s="23"/>
      <c r="F34" s="22" t="str">
        <f>IFERROR(IF(COUNTIF('1. Farm Information'!A:A,A34)&gt;0,"✓","⚠ MISSING!")," ")</f>
        <v>⚠ MISSING!</v>
      </c>
      <c r="G34" s="26" t="str">
        <f t="shared" si="0"/>
        <v/>
      </c>
      <c r="H34" s="26" t="str">
        <f t="shared" si="1"/>
        <v/>
      </c>
      <c r="I34" s="32" t="str">
        <f t="shared" si="2"/>
        <v/>
      </c>
      <c r="J34" s="31"/>
    </row>
    <row r="35" spans="1:10" ht="15.75" customHeight="1">
      <c r="A35" s="21"/>
      <c r="B35" s="21"/>
      <c r="C35" s="21"/>
      <c r="D35" s="21"/>
      <c r="E35" s="21"/>
      <c r="F35" s="22" t="str">
        <f>IFERROR(IF(COUNTIF('1. Farm Information'!A:A,A35)&gt;0,"✓","⚠ MISSING!")," ")</f>
        <v>⚠ MISSING!</v>
      </c>
      <c r="G35" s="26" t="str">
        <f t="shared" si="0"/>
        <v/>
      </c>
      <c r="H35" s="26" t="str">
        <f t="shared" si="1"/>
        <v/>
      </c>
      <c r="I35" s="32" t="str">
        <f t="shared" si="2"/>
        <v/>
      </c>
      <c r="J35" s="30"/>
    </row>
    <row r="36" spans="1:10" ht="15.75" customHeight="1">
      <c r="A36" s="23"/>
      <c r="B36" s="23"/>
      <c r="C36" s="23"/>
      <c r="D36" s="23"/>
      <c r="E36" s="23"/>
      <c r="F36" s="22" t="str">
        <f>IFERROR(IF(COUNTIF('1. Farm Information'!A:A,A36)&gt;0,"✓","⚠ MISSING!")," ")</f>
        <v>⚠ MISSING!</v>
      </c>
      <c r="G36" s="26" t="str">
        <f t="shared" si="0"/>
        <v/>
      </c>
      <c r="H36" s="26" t="str">
        <f t="shared" si="1"/>
        <v/>
      </c>
      <c r="I36" s="32" t="str">
        <f t="shared" si="2"/>
        <v/>
      </c>
      <c r="J36" s="31"/>
    </row>
    <row r="37" spans="1:10" ht="15.75" customHeight="1">
      <c r="A37" s="21"/>
      <c r="B37" s="21"/>
      <c r="C37" s="21"/>
      <c r="D37" s="21"/>
      <c r="E37" s="21"/>
      <c r="F37" s="22" t="str">
        <f>IFERROR(IF(COUNTIF('1. Farm Information'!A:A,A37)&gt;0,"✓","⚠ MISSING!")," ")</f>
        <v>⚠ MISSING!</v>
      </c>
      <c r="G37" s="26" t="str">
        <f t="shared" ref="G37:G68" si="3">IFERROR(IF(D37="","",IF(AND(ISNUMBER(D37),D37&gt;=-90,D37&lt;=90),"✓ Valid","⚠ Check value"))," ")</f>
        <v/>
      </c>
      <c r="H37" s="26" t="str">
        <f t="shared" ref="H37:H68" si="4">IFERROR(IF(E37="","",IF(AND(ISNUMBER(E37),E37&gt;=-180,E37&lt;=180),"✓ Valid","⚠ Check value"))," ")</f>
        <v/>
      </c>
      <c r="I37" s="32" t="str">
        <f t="shared" ref="I37:I68" si="5">IFERROR(IF(A37 = "", "", IF(C37 = _xlfn.SINGLE(_xlfn.MAXIFS(C:C, A:A, A37)), "★ Largest", "")), " ")</f>
        <v/>
      </c>
      <c r="J37" s="30"/>
    </row>
    <row r="38" spans="1:10" ht="15.75" customHeight="1">
      <c r="A38" s="23"/>
      <c r="B38" s="23"/>
      <c r="C38" s="23"/>
      <c r="D38" s="23"/>
      <c r="E38" s="23"/>
      <c r="F38" s="22" t="str">
        <f>IFERROR(IF(COUNTIF('1. Farm Information'!A:A,A38)&gt;0,"✓","⚠ MISSING!")," ")</f>
        <v>⚠ MISSING!</v>
      </c>
      <c r="G38" s="26" t="str">
        <f t="shared" si="3"/>
        <v/>
      </c>
      <c r="H38" s="26" t="str">
        <f t="shared" si="4"/>
        <v/>
      </c>
      <c r="I38" s="32" t="str">
        <f t="shared" si="5"/>
        <v/>
      </c>
      <c r="J38" s="31"/>
    </row>
    <row r="39" spans="1:10" ht="15.75" customHeight="1">
      <c r="A39" s="21"/>
      <c r="B39" s="21"/>
      <c r="C39" s="21"/>
      <c r="D39" s="21"/>
      <c r="E39" s="21"/>
      <c r="F39" s="22" t="str">
        <f>IFERROR(IF(COUNTIF('1. Farm Information'!A:A,A39)&gt;0,"✓","⚠ MISSING!")," ")</f>
        <v>⚠ MISSING!</v>
      </c>
      <c r="G39" s="26" t="str">
        <f t="shared" si="3"/>
        <v/>
      </c>
      <c r="H39" s="26" t="str">
        <f t="shared" si="4"/>
        <v/>
      </c>
      <c r="I39" s="32" t="str">
        <f t="shared" si="5"/>
        <v/>
      </c>
      <c r="J39" s="30"/>
    </row>
    <row r="40" spans="1:10" ht="15.75" customHeight="1">
      <c r="A40" s="23"/>
      <c r="B40" s="23"/>
      <c r="C40" s="23"/>
      <c r="D40" s="23"/>
      <c r="E40" s="23"/>
      <c r="F40" s="22" t="str">
        <f>IFERROR(IF(COUNTIF('1. Farm Information'!A:A,A40)&gt;0,"✓","⚠ MISSING!")," ")</f>
        <v>⚠ MISSING!</v>
      </c>
      <c r="G40" s="26" t="str">
        <f t="shared" si="3"/>
        <v/>
      </c>
      <c r="H40" s="26" t="str">
        <f t="shared" si="4"/>
        <v/>
      </c>
      <c r="I40" s="32" t="str">
        <f t="shared" si="5"/>
        <v/>
      </c>
      <c r="J40" s="31"/>
    </row>
    <row r="41" spans="1:10" ht="15.75" customHeight="1">
      <c r="A41" s="21"/>
      <c r="B41" s="21"/>
      <c r="C41" s="21"/>
      <c r="D41" s="21"/>
      <c r="E41" s="21"/>
      <c r="F41" s="22" t="str">
        <f>IFERROR(IF(COUNTIF('1. Farm Information'!A:A,A41)&gt;0,"✓","⚠ MISSING!")," ")</f>
        <v>⚠ MISSING!</v>
      </c>
      <c r="G41" s="26" t="str">
        <f t="shared" si="3"/>
        <v/>
      </c>
      <c r="H41" s="26" t="str">
        <f t="shared" si="4"/>
        <v/>
      </c>
      <c r="I41" s="32" t="str">
        <f t="shared" si="5"/>
        <v/>
      </c>
      <c r="J41" s="30"/>
    </row>
    <row r="42" spans="1:10" ht="15.75" customHeight="1">
      <c r="A42" s="23"/>
      <c r="B42" s="23"/>
      <c r="C42" s="23"/>
      <c r="D42" s="23"/>
      <c r="E42" s="23"/>
      <c r="F42" s="22" t="str">
        <f>IFERROR(IF(COUNTIF('1. Farm Information'!A:A,A42)&gt;0,"✓","⚠ MISSING!")," ")</f>
        <v>⚠ MISSING!</v>
      </c>
      <c r="G42" s="26" t="str">
        <f t="shared" si="3"/>
        <v/>
      </c>
      <c r="H42" s="26" t="str">
        <f t="shared" si="4"/>
        <v/>
      </c>
      <c r="I42" s="32" t="str">
        <f t="shared" si="5"/>
        <v/>
      </c>
      <c r="J42" s="31"/>
    </row>
    <row r="43" spans="1:10" ht="15.75" customHeight="1">
      <c r="A43" s="21"/>
      <c r="B43" s="21"/>
      <c r="C43" s="21"/>
      <c r="D43" s="21"/>
      <c r="E43" s="21"/>
      <c r="F43" s="22" t="str">
        <f>IFERROR(IF(COUNTIF('1. Farm Information'!A:A,A43)&gt;0,"✓","⚠ MISSING!")," ")</f>
        <v>⚠ MISSING!</v>
      </c>
      <c r="G43" s="26" t="str">
        <f t="shared" si="3"/>
        <v/>
      </c>
      <c r="H43" s="26" t="str">
        <f t="shared" si="4"/>
        <v/>
      </c>
      <c r="I43" s="32" t="str">
        <f t="shared" si="5"/>
        <v/>
      </c>
      <c r="J43" s="30"/>
    </row>
    <row r="44" spans="1:10" ht="15.75" customHeight="1">
      <c r="A44" s="23"/>
      <c r="B44" s="23"/>
      <c r="C44" s="23"/>
      <c r="D44" s="23"/>
      <c r="E44" s="23"/>
      <c r="F44" s="22" t="str">
        <f>IFERROR(IF(COUNTIF('1. Farm Information'!A:A,A44)&gt;0,"✓","⚠ MISSING!")," ")</f>
        <v>⚠ MISSING!</v>
      </c>
      <c r="G44" s="26" t="str">
        <f t="shared" si="3"/>
        <v/>
      </c>
      <c r="H44" s="26" t="str">
        <f t="shared" si="4"/>
        <v/>
      </c>
      <c r="I44" s="32" t="str">
        <f t="shared" si="5"/>
        <v/>
      </c>
      <c r="J44" s="31"/>
    </row>
    <row r="45" spans="1:10" ht="15.75" customHeight="1">
      <c r="A45" s="21"/>
      <c r="B45" s="21"/>
      <c r="C45" s="21"/>
      <c r="D45" s="21"/>
      <c r="E45" s="21"/>
      <c r="F45" s="22" t="str">
        <f>IFERROR(IF(COUNTIF('1. Farm Information'!A:A,A45)&gt;0,"✓","⚠ MISSING!")," ")</f>
        <v>⚠ MISSING!</v>
      </c>
      <c r="G45" s="26" t="str">
        <f t="shared" si="3"/>
        <v/>
      </c>
      <c r="H45" s="26" t="str">
        <f t="shared" si="4"/>
        <v/>
      </c>
      <c r="I45" s="32" t="str">
        <f t="shared" si="5"/>
        <v/>
      </c>
      <c r="J45" s="30"/>
    </row>
    <row r="46" spans="1:10" ht="15.75" customHeight="1">
      <c r="A46" s="23"/>
      <c r="B46" s="23"/>
      <c r="C46" s="23"/>
      <c r="D46" s="23"/>
      <c r="E46" s="23"/>
      <c r="F46" s="22" t="str">
        <f>IFERROR(IF(COUNTIF('1. Farm Information'!A:A,A46)&gt;0,"✓","⚠ MISSING!")," ")</f>
        <v>⚠ MISSING!</v>
      </c>
      <c r="G46" s="26" t="str">
        <f t="shared" si="3"/>
        <v/>
      </c>
      <c r="H46" s="26" t="str">
        <f t="shared" si="4"/>
        <v/>
      </c>
      <c r="I46" s="32" t="str">
        <f t="shared" si="5"/>
        <v/>
      </c>
      <c r="J46" s="31"/>
    </row>
    <row r="47" spans="1:10" ht="15.75" customHeight="1">
      <c r="A47" s="21"/>
      <c r="B47" s="21"/>
      <c r="C47" s="21"/>
      <c r="D47" s="21"/>
      <c r="E47" s="21"/>
      <c r="F47" s="22" t="str">
        <f>IFERROR(IF(COUNTIF('1. Farm Information'!A:A,A47)&gt;0,"✓","⚠ MISSING!")," ")</f>
        <v>⚠ MISSING!</v>
      </c>
      <c r="G47" s="26" t="str">
        <f t="shared" si="3"/>
        <v/>
      </c>
      <c r="H47" s="26" t="str">
        <f t="shared" si="4"/>
        <v/>
      </c>
      <c r="I47" s="32" t="str">
        <f t="shared" si="5"/>
        <v/>
      </c>
      <c r="J47" s="30"/>
    </row>
    <row r="48" spans="1:10" ht="15.75" customHeight="1">
      <c r="A48" s="23"/>
      <c r="B48" s="23"/>
      <c r="C48" s="23"/>
      <c r="D48" s="23"/>
      <c r="E48" s="23"/>
      <c r="F48" s="22" t="str">
        <f>IFERROR(IF(COUNTIF('1. Farm Information'!A:A,A48)&gt;0,"✓","⚠ MISSING!")," ")</f>
        <v>⚠ MISSING!</v>
      </c>
      <c r="G48" s="26" t="str">
        <f t="shared" si="3"/>
        <v/>
      </c>
      <c r="H48" s="26" t="str">
        <f t="shared" si="4"/>
        <v/>
      </c>
      <c r="I48" s="32" t="str">
        <f t="shared" si="5"/>
        <v/>
      </c>
      <c r="J48" s="31"/>
    </row>
    <row r="49" spans="1:10" ht="15.75" customHeight="1">
      <c r="A49" s="21"/>
      <c r="B49" s="21"/>
      <c r="C49" s="21"/>
      <c r="D49" s="21"/>
      <c r="E49" s="21"/>
      <c r="F49" s="22" t="str">
        <f>IFERROR(IF(COUNTIF('1. Farm Information'!A:A,A49)&gt;0,"✓","⚠ MISSING!")," ")</f>
        <v>⚠ MISSING!</v>
      </c>
      <c r="G49" s="26" t="str">
        <f t="shared" si="3"/>
        <v/>
      </c>
      <c r="H49" s="26" t="str">
        <f t="shared" si="4"/>
        <v/>
      </c>
      <c r="I49" s="32" t="str">
        <f t="shared" si="5"/>
        <v/>
      </c>
      <c r="J49" s="30"/>
    </row>
    <row r="50" spans="1:10" ht="15.75" customHeight="1">
      <c r="A50" s="23"/>
      <c r="B50" s="23"/>
      <c r="C50" s="23"/>
      <c r="D50" s="23"/>
      <c r="E50" s="23"/>
      <c r="F50" s="22" t="str">
        <f>IFERROR(IF(COUNTIF('1. Farm Information'!A:A,A50)&gt;0,"✓","⚠ MISSING!")," ")</f>
        <v>⚠ MISSING!</v>
      </c>
      <c r="G50" s="26" t="str">
        <f t="shared" si="3"/>
        <v/>
      </c>
      <c r="H50" s="26" t="str">
        <f t="shared" si="4"/>
        <v/>
      </c>
      <c r="I50" s="32" t="str">
        <f t="shared" si="5"/>
        <v/>
      </c>
      <c r="J50" s="31"/>
    </row>
    <row r="51" spans="1:10" ht="15.75" customHeight="1">
      <c r="A51" s="21"/>
      <c r="B51" s="21"/>
      <c r="C51" s="21"/>
      <c r="D51" s="21"/>
      <c r="E51" s="21"/>
      <c r="F51" s="22" t="str">
        <f>IFERROR(IF(COUNTIF('1. Farm Information'!A:A,A51)&gt;0,"✓","⚠ MISSING!")," ")</f>
        <v>⚠ MISSING!</v>
      </c>
      <c r="G51" s="26" t="str">
        <f t="shared" si="3"/>
        <v/>
      </c>
      <c r="H51" s="26" t="str">
        <f t="shared" si="4"/>
        <v/>
      </c>
      <c r="I51" s="32" t="str">
        <f t="shared" si="5"/>
        <v/>
      </c>
      <c r="J51" s="30"/>
    </row>
    <row r="52" spans="1:10" ht="15.75" customHeight="1">
      <c r="A52" s="23"/>
      <c r="B52" s="23"/>
      <c r="C52" s="23"/>
      <c r="D52" s="23"/>
      <c r="E52" s="23"/>
      <c r="F52" s="22" t="str">
        <f>IFERROR(IF(COUNTIF('1. Farm Information'!A:A,A52)&gt;0,"✓","⚠ MISSING!")," ")</f>
        <v>⚠ MISSING!</v>
      </c>
      <c r="G52" s="26" t="str">
        <f t="shared" si="3"/>
        <v/>
      </c>
      <c r="H52" s="26" t="str">
        <f t="shared" si="4"/>
        <v/>
      </c>
      <c r="I52" s="32" t="str">
        <f t="shared" si="5"/>
        <v/>
      </c>
      <c r="J52" s="31"/>
    </row>
    <row r="53" spans="1:10" ht="15.75" customHeight="1">
      <c r="A53" s="21"/>
      <c r="B53" s="21"/>
      <c r="C53" s="21"/>
      <c r="D53" s="21"/>
      <c r="E53" s="21"/>
      <c r="F53" s="22" t="str">
        <f>IFERROR(IF(COUNTIF('1. Farm Information'!A:A,A53)&gt;0,"✓","⚠ MISSING!")," ")</f>
        <v>⚠ MISSING!</v>
      </c>
      <c r="G53" s="26" t="str">
        <f t="shared" si="3"/>
        <v/>
      </c>
      <c r="H53" s="26" t="str">
        <f t="shared" si="4"/>
        <v/>
      </c>
      <c r="I53" s="32" t="str">
        <f t="shared" si="5"/>
        <v/>
      </c>
      <c r="J53" s="30"/>
    </row>
    <row r="54" spans="1:10" ht="15.75" customHeight="1">
      <c r="A54" s="23"/>
      <c r="B54" s="23"/>
      <c r="C54" s="23"/>
      <c r="D54" s="23"/>
      <c r="E54" s="23"/>
      <c r="F54" s="22" t="str">
        <f>IFERROR(IF(COUNTIF('1. Farm Information'!A:A,A54)&gt;0,"✓","⚠ MISSING!")," ")</f>
        <v>⚠ MISSING!</v>
      </c>
      <c r="G54" s="26" t="str">
        <f t="shared" si="3"/>
        <v/>
      </c>
      <c r="H54" s="26" t="str">
        <f t="shared" si="4"/>
        <v/>
      </c>
      <c r="I54" s="32" t="str">
        <f t="shared" si="5"/>
        <v/>
      </c>
      <c r="J54" s="31"/>
    </row>
    <row r="55" spans="1:10" ht="15.75" customHeight="1">
      <c r="A55" s="21"/>
      <c r="B55" s="21"/>
      <c r="C55" s="21"/>
      <c r="D55" s="21"/>
      <c r="E55" s="21"/>
      <c r="F55" s="22" t="str">
        <f>IFERROR(IF(COUNTIF('1. Farm Information'!A:A,A55)&gt;0,"✓","⚠ MISSING!")," ")</f>
        <v>⚠ MISSING!</v>
      </c>
      <c r="G55" s="26" t="str">
        <f t="shared" si="3"/>
        <v/>
      </c>
      <c r="H55" s="26" t="str">
        <f t="shared" si="4"/>
        <v/>
      </c>
      <c r="I55" s="32" t="str">
        <f t="shared" si="5"/>
        <v/>
      </c>
      <c r="J55" s="30"/>
    </row>
    <row r="56" spans="1:10" ht="15.75" customHeight="1">
      <c r="A56" s="23"/>
      <c r="B56" s="23"/>
      <c r="C56" s="23"/>
      <c r="D56" s="23"/>
      <c r="E56" s="23"/>
      <c r="F56" s="22" t="str">
        <f>IFERROR(IF(COUNTIF('1. Farm Information'!A:A,A56)&gt;0,"✓","⚠ MISSING!")," ")</f>
        <v>⚠ MISSING!</v>
      </c>
      <c r="G56" s="26" t="str">
        <f t="shared" si="3"/>
        <v/>
      </c>
      <c r="H56" s="26" t="str">
        <f t="shared" si="4"/>
        <v/>
      </c>
      <c r="I56" s="32" t="str">
        <f t="shared" si="5"/>
        <v/>
      </c>
      <c r="J56" s="31"/>
    </row>
    <row r="57" spans="1:10" ht="15.75" customHeight="1">
      <c r="A57" s="21"/>
      <c r="B57" s="21"/>
      <c r="C57" s="21"/>
      <c r="D57" s="21"/>
      <c r="E57" s="21"/>
      <c r="F57" s="22" t="str">
        <f>IFERROR(IF(COUNTIF('1. Farm Information'!A:A,A57)&gt;0,"✓","⚠ MISSING!")," ")</f>
        <v>⚠ MISSING!</v>
      </c>
      <c r="G57" s="26" t="str">
        <f t="shared" si="3"/>
        <v/>
      </c>
      <c r="H57" s="26" t="str">
        <f t="shared" si="4"/>
        <v/>
      </c>
      <c r="I57" s="32" t="str">
        <f t="shared" si="5"/>
        <v/>
      </c>
      <c r="J57" s="30"/>
    </row>
    <row r="58" spans="1:10" ht="15.75" customHeight="1">
      <c r="A58" s="23"/>
      <c r="B58" s="23"/>
      <c r="C58" s="23"/>
      <c r="D58" s="23"/>
      <c r="E58" s="23"/>
      <c r="F58" s="22" t="str">
        <f>IFERROR(IF(COUNTIF('1. Farm Information'!A:A,A58)&gt;0,"✓","⚠ MISSING!")," ")</f>
        <v>⚠ MISSING!</v>
      </c>
      <c r="G58" s="26" t="str">
        <f t="shared" si="3"/>
        <v/>
      </c>
      <c r="H58" s="26" t="str">
        <f t="shared" si="4"/>
        <v/>
      </c>
      <c r="I58" s="32" t="str">
        <f t="shared" si="5"/>
        <v/>
      </c>
      <c r="J58" s="31"/>
    </row>
    <row r="59" spans="1:10" ht="15.75" customHeight="1">
      <c r="A59" s="21"/>
      <c r="B59" s="21"/>
      <c r="C59" s="21"/>
      <c r="D59" s="21"/>
      <c r="E59" s="21"/>
      <c r="F59" s="22" t="str">
        <f>IFERROR(IF(COUNTIF('1. Farm Information'!A:A,A59)&gt;0,"✓","⚠ MISSING!")," ")</f>
        <v>⚠ MISSING!</v>
      </c>
      <c r="G59" s="26" t="str">
        <f t="shared" si="3"/>
        <v/>
      </c>
      <c r="H59" s="26" t="str">
        <f t="shared" si="4"/>
        <v/>
      </c>
      <c r="I59" s="32" t="str">
        <f t="shared" si="5"/>
        <v/>
      </c>
      <c r="J59" s="30"/>
    </row>
    <row r="60" spans="1:10" ht="15.75" customHeight="1">
      <c r="A60" s="23"/>
      <c r="B60" s="23"/>
      <c r="C60" s="23"/>
      <c r="D60" s="23"/>
      <c r="E60" s="23"/>
      <c r="F60" s="22" t="str">
        <f>IFERROR(IF(COUNTIF('1. Farm Information'!A:A,A60)&gt;0,"✓","⚠ MISSING!")," ")</f>
        <v>⚠ MISSING!</v>
      </c>
      <c r="G60" s="26" t="str">
        <f t="shared" si="3"/>
        <v/>
      </c>
      <c r="H60" s="26" t="str">
        <f t="shared" si="4"/>
        <v/>
      </c>
      <c r="I60" s="32" t="str">
        <f t="shared" si="5"/>
        <v/>
      </c>
      <c r="J60" s="31"/>
    </row>
    <row r="61" spans="1:10" ht="15.75" customHeight="1">
      <c r="A61" s="21"/>
      <c r="B61" s="21"/>
      <c r="C61" s="21"/>
      <c r="D61" s="21"/>
      <c r="E61" s="21"/>
      <c r="F61" s="22" t="str">
        <f>IFERROR(IF(COUNTIF('1. Farm Information'!A:A,A61)&gt;0,"✓","⚠ MISSING!")," ")</f>
        <v>⚠ MISSING!</v>
      </c>
      <c r="G61" s="26" t="str">
        <f t="shared" si="3"/>
        <v/>
      </c>
      <c r="H61" s="26" t="str">
        <f t="shared" si="4"/>
        <v/>
      </c>
      <c r="I61" s="32" t="str">
        <f t="shared" si="5"/>
        <v/>
      </c>
      <c r="J61" s="30"/>
    </row>
    <row r="62" spans="1:10" ht="15.75" customHeight="1">
      <c r="A62" s="23"/>
      <c r="B62" s="23"/>
      <c r="C62" s="23"/>
      <c r="D62" s="23"/>
      <c r="E62" s="23"/>
      <c r="F62" s="22" t="str">
        <f>IFERROR(IF(COUNTIF('1. Farm Information'!A:A,A62)&gt;0,"✓","⚠ MISSING!")," ")</f>
        <v>⚠ MISSING!</v>
      </c>
      <c r="G62" s="26" t="str">
        <f t="shared" si="3"/>
        <v/>
      </c>
      <c r="H62" s="26" t="str">
        <f t="shared" si="4"/>
        <v/>
      </c>
      <c r="I62" s="32" t="str">
        <f t="shared" si="5"/>
        <v/>
      </c>
      <c r="J62" s="31"/>
    </row>
    <row r="63" spans="1:10" ht="15.75" customHeight="1">
      <c r="A63" s="21"/>
      <c r="B63" s="21"/>
      <c r="C63" s="21"/>
      <c r="D63" s="21"/>
      <c r="E63" s="21"/>
      <c r="F63" s="22" t="str">
        <f>IFERROR(IF(COUNTIF('1. Farm Information'!A:A,A63)&gt;0,"✓","⚠ MISSING!")," ")</f>
        <v>⚠ MISSING!</v>
      </c>
      <c r="G63" s="26" t="str">
        <f t="shared" si="3"/>
        <v/>
      </c>
      <c r="H63" s="26" t="str">
        <f t="shared" si="4"/>
        <v/>
      </c>
      <c r="I63" s="32" t="str">
        <f t="shared" si="5"/>
        <v/>
      </c>
      <c r="J63" s="30"/>
    </row>
    <row r="64" spans="1:10" ht="15.75" customHeight="1">
      <c r="A64" s="23"/>
      <c r="B64" s="23"/>
      <c r="C64" s="23"/>
      <c r="D64" s="23"/>
      <c r="E64" s="23"/>
      <c r="F64" s="22" t="str">
        <f>IFERROR(IF(COUNTIF('1. Farm Information'!A:A,A64)&gt;0,"✓","⚠ MISSING!")," ")</f>
        <v>⚠ MISSING!</v>
      </c>
      <c r="G64" s="26" t="str">
        <f t="shared" si="3"/>
        <v/>
      </c>
      <c r="H64" s="26" t="str">
        <f t="shared" si="4"/>
        <v/>
      </c>
      <c r="I64" s="32" t="str">
        <f t="shared" si="5"/>
        <v/>
      </c>
      <c r="J64" s="31"/>
    </row>
    <row r="65" spans="1:10" ht="15.75" customHeight="1">
      <c r="A65" s="21"/>
      <c r="B65" s="21"/>
      <c r="C65" s="21"/>
      <c r="D65" s="21"/>
      <c r="E65" s="21"/>
      <c r="F65" s="22" t="str">
        <f>IFERROR(IF(COUNTIF('1. Farm Information'!A:A,A65)&gt;0,"✓","⚠ MISSING!")," ")</f>
        <v>⚠ MISSING!</v>
      </c>
      <c r="G65" s="26" t="str">
        <f t="shared" si="3"/>
        <v/>
      </c>
      <c r="H65" s="26" t="str">
        <f t="shared" si="4"/>
        <v/>
      </c>
      <c r="I65" s="32" t="str">
        <f t="shared" si="5"/>
        <v/>
      </c>
      <c r="J65" s="30"/>
    </row>
    <row r="66" spans="1:10" ht="15.75" customHeight="1">
      <c r="A66" s="23"/>
      <c r="B66" s="23"/>
      <c r="C66" s="23"/>
      <c r="D66" s="23"/>
      <c r="E66" s="23"/>
      <c r="F66" s="22" t="str">
        <f>IFERROR(IF(COUNTIF('1. Farm Information'!A:A,A66)&gt;0,"✓","⚠ MISSING!")," ")</f>
        <v>⚠ MISSING!</v>
      </c>
      <c r="G66" s="26" t="str">
        <f t="shared" si="3"/>
        <v/>
      </c>
      <c r="H66" s="26" t="str">
        <f t="shared" si="4"/>
        <v/>
      </c>
      <c r="I66" s="32" t="str">
        <f t="shared" si="5"/>
        <v/>
      </c>
      <c r="J66" s="31"/>
    </row>
    <row r="67" spans="1:10" ht="15.75" customHeight="1">
      <c r="A67" s="21"/>
      <c r="B67" s="21"/>
      <c r="C67" s="21"/>
      <c r="D67" s="21"/>
      <c r="E67" s="21"/>
      <c r="F67" s="22" t="str">
        <f>IFERROR(IF(COUNTIF('1. Farm Information'!A:A,A67)&gt;0,"✓","⚠ MISSING!")," ")</f>
        <v>⚠ MISSING!</v>
      </c>
      <c r="G67" s="26" t="str">
        <f t="shared" si="3"/>
        <v/>
      </c>
      <c r="H67" s="26" t="str">
        <f t="shared" si="4"/>
        <v/>
      </c>
      <c r="I67" s="32" t="str">
        <f t="shared" si="5"/>
        <v/>
      </c>
      <c r="J67" s="30"/>
    </row>
    <row r="68" spans="1:10" ht="15.75" customHeight="1">
      <c r="A68" s="23"/>
      <c r="B68" s="23"/>
      <c r="C68" s="23"/>
      <c r="D68" s="23"/>
      <c r="E68" s="23"/>
      <c r="F68" s="22" t="str">
        <f>IFERROR(IF(COUNTIF('1. Farm Information'!A:A,A68)&gt;0,"✓","⚠ MISSING!")," ")</f>
        <v>⚠ MISSING!</v>
      </c>
      <c r="G68" s="26" t="str">
        <f t="shared" si="3"/>
        <v/>
      </c>
      <c r="H68" s="26" t="str">
        <f t="shared" si="4"/>
        <v/>
      </c>
      <c r="I68" s="32" t="str">
        <f t="shared" si="5"/>
        <v/>
      </c>
      <c r="J68" s="31"/>
    </row>
    <row r="69" spans="1:10" ht="15.75" customHeight="1">
      <c r="A69" s="21"/>
      <c r="B69" s="21"/>
      <c r="C69" s="21"/>
      <c r="D69" s="21"/>
      <c r="E69" s="21"/>
      <c r="F69" s="22" t="str">
        <f>IFERROR(IF(COUNTIF('1. Farm Information'!A:A,A69)&gt;0,"✓","⚠ MISSING!")," ")</f>
        <v>⚠ MISSING!</v>
      </c>
      <c r="G69" s="26" t="str">
        <f t="shared" ref="G69:G104" si="6">IFERROR(IF(D69="","",IF(AND(ISNUMBER(D69),D69&gt;=-90,D69&lt;=90),"✓ Valid","⚠ Check value"))," ")</f>
        <v/>
      </c>
      <c r="H69" s="26" t="str">
        <f t="shared" ref="H69:H104" si="7">IFERROR(IF(E69="","",IF(AND(ISNUMBER(E69),E69&gt;=-180,E69&lt;=180),"✓ Valid","⚠ Check value"))," ")</f>
        <v/>
      </c>
      <c r="I69" s="32" t="str">
        <f t="shared" ref="I69:I104" si="8">IFERROR(IF(A69 = "", "", IF(C69 = _xlfn.SINGLE(_xlfn.MAXIFS(C:C, A:A, A69)), "★ Largest", "")), " ")</f>
        <v/>
      </c>
      <c r="J69" s="30"/>
    </row>
    <row r="70" spans="1:10" ht="15.75" customHeight="1">
      <c r="A70" s="23"/>
      <c r="B70" s="23"/>
      <c r="C70" s="23"/>
      <c r="D70" s="23"/>
      <c r="E70" s="23"/>
      <c r="F70" s="22" t="str">
        <f>IFERROR(IF(COUNTIF('1. Farm Information'!A:A,A70)&gt;0,"✓","⚠ MISSING!")," ")</f>
        <v>⚠ MISSING!</v>
      </c>
      <c r="G70" s="26" t="str">
        <f t="shared" si="6"/>
        <v/>
      </c>
      <c r="H70" s="26" t="str">
        <f t="shared" si="7"/>
        <v/>
      </c>
      <c r="I70" s="32" t="str">
        <f t="shared" si="8"/>
        <v/>
      </c>
      <c r="J70" s="31"/>
    </row>
    <row r="71" spans="1:10" ht="15.75" customHeight="1">
      <c r="A71" s="21"/>
      <c r="B71" s="21"/>
      <c r="C71" s="21"/>
      <c r="D71" s="21"/>
      <c r="E71" s="21"/>
      <c r="F71" s="22" t="str">
        <f>IFERROR(IF(COUNTIF('1. Farm Information'!A:A,A71)&gt;0,"✓","⚠ MISSING!")," ")</f>
        <v>⚠ MISSING!</v>
      </c>
      <c r="G71" s="26" t="str">
        <f t="shared" si="6"/>
        <v/>
      </c>
      <c r="H71" s="26" t="str">
        <f t="shared" si="7"/>
        <v/>
      </c>
      <c r="I71" s="32" t="str">
        <f t="shared" si="8"/>
        <v/>
      </c>
      <c r="J71" s="30"/>
    </row>
    <row r="72" spans="1:10" ht="15.75" customHeight="1">
      <c r="A72" s="23"/>
      <c r="B72" s="23"/>
      <c r="C72" s="23"/>
      <c r="D72" s="23"/>
      <c r="E72" s="23"/>
      <c r="F72" s="22" t="str">
        <f>IFERROR(IF(COUNTIF('1. Farm Information'!A:A,A72)&gt;0,"✓","⚠ MISSING!")," ")</f>
        <v>⚠ MISSING!</v>
      </c>
      <c r="G72" s="26" t="str">
        <f t="shared" si="6"/>
        <v/>
      </c>
      <c r="H72" s="26" t="str">
        <f t="shared" si="7"/>
        <v/>
      </c>
      <c r="I72" s="32" t="str">
        <f t="shared" si="8"/>
        <v/>
      </c>
      <c r="J72" s="31"/>
    </row>
    <row r="73" spans="1:10" ht="15.75" customHeight="1">
      <c r="A73" s="21"/>
      <c r="B73" s="21"/>
      <c r="C73" s="21"/>
      <c r="D73" s="21"/>
      <c r="E73" s="21"/>
      <c r="F73" s="22" t="str">
        <f>IFERROR(IF(COUNTIF('1. Farm Information'!A:A,A73)&gt;0,"✓","⚠ MISSING!")," ")</f>
        <v>⚠ MISSING!</v>
      </c>
      <c r="G73" s="26" t="str">
        <f t="shared" si="6"/>
        <v/>
      </c>
      <c r="H73" s="26" t="str">
        <f t="shared" si="7"/>
        <v/>
      </c>
      <c r="I73" s="32" t="str">
        <f t="shared" si="8"/>
        <v/>
      </c>
      <c r="J73" s="30"/>
    </row>
    <row r="74" spans="1:10" ht="15.75" customHeight="1">
      <c r="A74" s="23"/>
      <c r="B74" s="23"/>
      <c r="C74" s="23"/>
      <c r="D74" s="23"/>
      <c r="E74" s="23"/>
      <c r="F74" s="22" t="str">
        <f>IFERROR(IF(COUNTIF('1. Farm Information'!A:A,A74)&gt;0,"✓","⚠ MISSING!")," ")</f>
        <v>⚠ MISSING!</v>
      </c>
      <c r="G74" s="26" t="str">
        <f t="shared" si="6"/>
        <v/>
      </c>
      <c r="H74" s="26" t="str">
        <f t="shared" si="7"/>
        <v/>
      </c>
      <c r="I74" s="32" t="str">
        <f t="shared" si="8"/>
        <v/>
      </c>
      <c r="J74" s="31"/>
    </row>
    <row r="75" spans="1:10" ht="15.75" customHeight="1">
      <c r="A75" s="21"/>
      <c r="B75" s="21"/>
      <c r="C75" s="21"/>
      <c r="D75" s="21"/>
      <c r="E75" s="21"/>
      <c r="F75" s="22" t="str">
        <f>IFERROR(IF(COUNTIF('1. Farm Information'!A:A,A75)&gt;0,"✓","⚠ MISSING!")," ")</f>
        <v>⚠ MISSING!</v>
      </c>
      <c r="G75" s="26" t="str">
        <f t="shared" si="6"/>
        <v/>
      </c>
      <c r="H75" s="26" t="str">
        <f t="shared" si="7"/>
        <v/>
      </c>
      <c r="I75" s="32" t="str">
        <f t="shared" si="8"/>
        <v/>
      </c>
      <c r="J75" s="30"/>
    </row>
    <row r="76" spans="1:10" ht="15.75" customHeight="1">
      <c r="A76" s="23"/>
      <c r="B76" s="23"/>
      <c r="C76" s="23"/>
      <c r="D76" s="23"/>
      <c r="E76" s="23"/>
      <c r="F76" s="22" t="str">
        <f>IFERROR(IF(COUNTIF('1. Farm Information'!A:A,A76)&gt;0,"✓","⚠ MISSING!")," ")</f>
        <v>⚠ MISSING!</v>
      </c>
      <c r="G76" s="26" t="str">
        <f t="shared" si="6"/>
        <v/>
      </c>
      <c r="H76" s="26" t="str">
        <f t="shared" si="7"/>
        <v/>
      </c>
      <c r="I76" s="32" t="str">
        <f t="shared" si="8"/>
        <v/>
      </c>
      <c r="J76" s="31"/>
    </row>
    <row r="77" spans="1:10" ht="15.75" customHeight="1">
      <c r="A77" s="21"/>
      <c r="B77" s="21"/>
      <c r="C77" s="21"/>
      <c r="D77" s="21"/>
      <c r="E77" s="21"/>
      <c r="F77" s="22" t="str">
        <f>IFERROR(IF(COUNTIF('1. Farm Information'!A:A,A77)&gt;0,"✓","⚠ MISSING!")," ")</f>
        <v>⚠ MISSING!</v>
      </c>
      <c r="G77" s="26" t="str">
        <f t="shared" si="6"/>
        <v/>
      </c>
      <c r="H77" s="26" t="str">
        <f t="shared" si="7"/>
        <v/>
      </c>
      <c r="I77" s="32" t="str">
        <f t="shared" si="8"/>
        <v/>
      </c>
      <c r="J77" s="30"/>
    </row>
    <row r="78" spans="1:10" ht="15.75" customHeight="1">
      <c r="A78" s="23"/>
      <c r="B78" s="23"/>
      <c r="C78" s="23"/>
      <c r="D78" s="23"/>
      <c r="E78" s="23"/>
      <c r="F78" s="22" t="str">
        <f>IFERROR(IF(COUNTIF('1. Farm Information'!A:A,A78)&gt;0,"✓","⚠ MISSING!")," ")</f>
        <v>⚠ MISSING!</v>
      </c>
      <c r="G78" s="26" t="str">
        <f t="shared" si="6"/>
        <v/>
      </c>
      <c r="H78" s="26" t="str">
        <f t="shared" si="7"/>
        <v/>
      </c>
      <c r="I78" s="32" t="str">
        <f t="shared" si="8"/>
        <v/>
      </c>
      <c r="J78" s="31"/>
    </row>
    <row r="79" spans="1:10" ht="15.75" customHeight="1">
      <c r="A79" s="21"/>
      <c r="B79" s="21"/>
      <c r="C79" s="21"/>
      <c r="D79" s="21"/>
      <c r="E79" s="21"/>
      <c r="F79" s="22" t="str">
        <f>IFERROR(IF(COUNTIF('1. Farm Information'!A:A,A79)&gt;0,"✓","⚠ MISSING!")," ")</f>
        <v>⚠ MISSING!</v>
      </c>
      <c r="G79" s="26" t="str">
        <f t="shared" si="6"/>
        <v/>
      </c>
      <c r="H79" s="26" t="str">
        <f t="shared" si="7"/>
        <v/>
      </c>
      <c r="I79" s="32" t="str">
        <f t="shared" si="8"/>
        <v/>
      </c>
      <c r="J79" s="30"/>
    </row>
    <row r="80" spans="1:10" ht="15.75" customHeight="1">
      <c r="A80" s="23"/>
      <c r="B80" s="23"/>
      <c r="C80" s="23"/>
      <c r="D80" s="23"/>
      <c r="E80" s="23"/>
      <c r="F80" s="22" t="str">
        <f>IFERROR(IF(COUNTIF('1. Farm Information'!A:A,A80)&gt;0,"✓","⚠ MISSING!")," ")</f>
        <v>⚠ MISSING!</v>
      </c>
      <c r="G80" s="26" t="str">
        <f t="shared" si="6"/>
        <v/>
      </c>
      <c r="H80" s="26" t="str">
        <f t="shared" si="7"/>
        <v/>
      </c>
      <c r="I80" s="32" t="str">
        <f t="shared" si="8"/>
        <v/>
      </c>
      <c r="J80" s="31"/>
    </row>
    <row r="81" spans="1:10" ht="15.75" customHeight="1">
      <c r="A81" s="21"/>
      <c r="B81" s="21"/>
      <c r="C81" s="21"/>
      <c r="D81" s="21"/>
      <c r="E81" s="21"/>
      <c r="F81" s="22" t="str">
        <f>IFERROR(IF(COUNTIF('1. Farm Information'!A:A,A81)&gt;0,"✓","⚠ MISSING!")," ")</f>
        <v>⚠ MISSING!</v>
      </c>
      <c r="G81" s="26" t="str">
        <f t="shared" si="6"/>
        <v/>
      </c>
      <c r="H81" s="26" t="str">
        <f t="shared" si="7"/>
        <v/>
      </c>
      <c r="I81" s="32" t="str">
        <f t="shared" si="8"/>
        <v/>
      </c>
      <c r="J81" s="30"/>
    </row>
    <row r="82" spans="1:10" ht="15.75" customHeight="1">
      <c r="A82" s="23"/>
      <c r="B82" s="23"/>
      <c r="C82" s="23"/>
      <c r="D82" s="23"/>
      <c r="E82" s="23"/>
      <c r="F82" s="22" t="str">
        <f>IFERROR(IF(COUNTIF('1. Farm Information'!A:A,A82)&gt;0,"✓","⚠ MISSING!")," ")</f>
        <v>⚠ MISSING!</v>
      </c>
      <c r="G82" s="26" t="str">
        <f t="shared" si="6"/>
        <v/>
      </c>
      <c r="H82" s="26" t="str">
        <f t="shared" si="7"/>
        <v/>
      </c>
      <c r="I82" s="32" t="str">
        <f t="shared" si="8"/>
        <v/>
      </c>
      <c r="J82" s="31"/>
    </row>
    <row r="83" spans="1:10" ht="15.75" customHeight="1">
      <c r="A83" s="21"/>
      <c r="B83" s="21"/>
      <c r="C83" s="21"/>
      <c r="D83" s="21"/>
      <c r="E83" s="21"/>
      <c r="F83" s="22" t="str">
        <f>IFERROR(IF(COUNTIF('1. Farm Information'!A:A,A83)&gt;0,"✓","⚠ MISSING!")," ")</f>
        <v>⚠ MISSING!</v>
      </c>
      <c r="G83" s="26" t="str">
        <f t="shared" si="6"/>
        <v/>
      </c>
      <c r="H83" s="26" t="str">
        <f t="shared" si="7"/>
        <v/>
      </c>
      <c r="I83" s="32" t="str">
        <f t="shared" si="8"/>
        <v/>
      </c>
      <c r="J83" s="30"/>
    </row>
    <row r="84" spans="1:10" ht="15.75" customHeight="1">
      <c r="A84" s="23"/>
      <c r="B84" s="23"/>
      <c r="C84" s="23"/>
      <c r="D84" s="23"/>
      <c r="E84" s="23"/>
      <c r="F84" s="22" t="str">
        <f>IFERROR(IF(COUNTIF('1. Farm Information'!A:A,A84)&gt;0,"✓","⚠ MISSING!")," ")</f>
        <v>⚠ MISSING!</v>
      </c>
      <c r="G84" s="26" t="str">
        <f t="shared" si="6"/>
        <v/>
      </c>
      <c r="H84" s="26" t="str">
        <f t="shared" si="7"/>
        <v/>
      </c>
      <c r="I84" s="32" t="str">
        <f t="shared" si="8"/>
        <v/>
      </c>
      <c r="J84" s="31"/>
    </row>
    <row r="85" spans="1:10" ht="15.75" customHeight="1">
      <c r="A85" s="21"/>
      <c r="B85" s="21"/>
      <c r="C85" s="21"/>
      <c r="D85" s="21"/>
      <c r="E85" s="21"/>
      <c r="F85" s="22" t="str">
        <f>IFERROR(IF(COUNTIF('1. Farm Information'!A:A,A85)&gt;0,"✓","⚠ MISSING!")," ")</f>
        <v>⚠ MISSING!</v>
      </c>
      <c r="G85" s="26" t="str">
        <f t="shared" si="6"/>
        <v/>
      </c>
      <c r="H85" s="26" t="str">
        <f t="shared" si="7"/>
        <v/>
      </c>
      <c r="I85" s="32" t="str">
        <f t="shared" si="8"/>
        <v/>
      </c>
      <c r="J85" s="30"/>
    </row>
    <row r="86" spans="1:10" ht="15.75" customHeight="1">
      <c r="A86" s="23"/>
      <c r="B86" s="23"/>
      <c r="C86" s="23"/>
      <c r="D86" s="23"/>
      <c r="E86" s="23"/>
      <c r="F86" s="22" t="str">
        <f>IFERROR(IF(COUNTIF('1. Farm Information'!A:A,A86)&gt;0,"✓","⚠ MISSING!")," ")</f>
        <v>⚠ MISSING!</v>
      </c>
      <c r="G86" s="26" t="str">
        <f t="shared" si="6"/>
        <v/>
      </c>
      <c r="H86" s="26" t="str">
        <f t="shared" si="7"/>
        <v/>
      </c>
      <c r="I86" s="32" t="str">
        <f t="shared" si="8"/>
        <v/>
      </c>
      <c r="J86" s="31"/>
    </row>
    <row r="87" spans="1:10" ht="15.75" customHeight="1">
      <c r="A87" s="21"/>
      <c r="B87" s="21"/>
      <c r="C87" s="21"/>
      <c r="D87" s="21"/>
      <c r="E87" s="21"/>
      <c r="F87" s="22" t="str">
        <f>IFERROR(IF(COUNTIF('1. Farm Information'!A:A,A87)&gt;0,"✓","⚠ MISSING!")," ")</f>
        <v>⚠ MISSING!</v>
      </c>
      <c r="G87" s="26" t="str">
        <f t="shared" si="6"/>
        <v/>
      </c>
      <c r="H87" s="26" t="str">
        <f t="shared" si="7"/>
        <v/>
      </c>
      <c r="I87" s="32" t="str">
        <f t="shared" si="8"/>
        <v/>
      </c>
      <c r="J87" s="30"/>
    </row>
    <row r="88" spans="1:10" ht="15.75" customHeight="1">
      <c r="A88" s="23"/>
      <c r="B88" s="23"/>
      <c r="C88" s="23"/>
      <c r="D88" s="23"/>
      <c r="E88" s="23"/>
      <c r="F88" s="22" t="str">
        <f>IFERROR(IF(COUNTIF('1. Farm Information'!A:A,A88)&gt;0,"✓","⚠ MISSING!")," ")</f>
        <v>⚠ MISSING!</v>
      </c>
      <c r="G88" s="26" t="str">
        <f t="shared" si="6"/>
        <v/>
      </c>
      <c r="H88" s="26" t="str">
        <f t="shared" si="7"/>
        <v/>
      </c>
      <c r="I88" s="32" t="str">
        <f t="shared" si="8"/>
        <v/>
      </c>
      <c r="J88" s="31"/>
    </row>
    <row r="89" spans="1:10" ht="15.75" customHeight="1">
      <c r="A89" s="21"/>
      <c r="B89" s="21"/>
      <c r="C89" s="21"/>
      <c r="D89" s="21"/>
      <c r="E89" s="21"/>
      <c r="F89" s="22" t="str">
        <f>IFERROR(IF(COUNTIF('1. Farm Information'!A:A,A89)&gt;0,"✓","⚠ MISSING!")," ")</f>
        <v>⚠ MISSING!</v>
      </c>
      <c r="G89" s="26" t="str">
        <f t="shared" si="6"/>
        <v/>
      </c>
      <c r="H89" s="26" t="str">
        <f t="shared" si="7"/>
        <v/>
      </c>
      <c r="I89" s="32" t="str">
        <f t="shared" si="8"/>
        <v/>
      </c>
      <c r="J89" s="30"/>
    </row>
    <row r="90" spans="1:10" ht="15.75" customHeight="1">
      <c r="A90" s="23"/>
      <c r="B90" s="23"/>
      <c r="C90" s="23"/>
      <c r="D90" s="23"/>
      <c r="E90" s="23"/>
      <c r="F90" s="22" t="str">
        <f>IFERROR(IF(COUNTIF('1. Farm Information'!A:A,A90)&gt;0,"✓","⚠ MISSING!")," ")</f>
        <v>⚠ MISSING!</v>
      </c>
      <c r="G90" s="26" t="str">
        <f t="shared" si="6"/>
        <v/>
      </c>
      <c r="H90" s="26" t="str">
        <f t="shared" si="7"/>
        <v/>
      </c>
      <c r="I90" s="32" t="str">
        <f t="shared" si="8"/>
        <v/>
      </c>
      <c r="J90" s="31"/>
    </row>
    <row r="91" spans="1:10" ht="15.75" customHeight="1">
      <c r="A91" s="21"/>
      <c r="B91" s="21"/>
      <c r="C91" s="21"/>
      <c r="D91" s="21"/>
      <c r="E91" s="21"/>
      <c r="F91" s="22" t="str">
        <f>IFERROR(IF(COUNTIF('1. Farm Information'!A:A,A91)&gt;0,"✓","⚠ MISSING!")," ")</f>
        <v>⚠ MISSING!</v>
      </c>
      <c r="G91" s="26" t="str">
        <f t="shared" si="6"/>
        <v/>
      </c>
      <c r="H91" s="26" t="str">
        <f t="shared" si="7"/>
        <v/>
      </c>
      <c r="I91" s="32" t="str">
        <f t="shared" si="8"/>
        <v/>
      </c>
      <c r="J91" s="30"/>
    </row>
    <row r="92" spans="1:10" ht="15.75" customHeight="1">
      <c r="A92" s="23"/>
      <c r="B92" s="23"/>
      <c r="C92" s="23"/>
      <c r="D92" s="23"/>
      <c r="E92" s="23"/>
      <c r="F92" s="22" t="str">
        <f>IFERROR(IF(COUNTIF('1. Farm Information'!A:A,A92)&gt;0,"✓","⚠ MISSING!")," ")</f>
        <v>⚠ MISSING!</v>
      </c>
      <c r="G92" s="26" t="str">
        <f t="shared" si="6"/>
        <v/>
      </c>
      <c r="H92" s="26" t="str">
        <f t="shared" si="7"/>
        <v/>
      </c>
      <c r="I92" s="32" t="str">
        <f t="shared" si="8"/>
        <v/>
      </c>
      <c r="J92" s="31"/>
    </row>
    <row r="93" spans="1:10" ht="15.75" customHeight="1">
      <c r="A93" s="21"/>
      <c r="B93" s="21"/>
      <c r="C93" s="21"/>
      <c r="D93" s="21"/>
      <c r="E93" s="21"/>
      <c r="F93" s="22" t="str">
        <f>IFERROR(IF(COUNTIF('1. Farm Information'!A:A,A93)&gt;0,"✓","⚠ MISSING!")," ")</f>
        <v>⚠ MISSING!</v>
      </c>
      <c r="G93" s="26" t="str">
        <f t="shared" si="6"/>
        <v/>
      </c>
      <c r="H93" s="26" t="str">
        <f t="shared" si="7"/>
        <v/>
      </c>
      <c r="I93" s="32" t="str">
        <f t="shared" si="8"/>
        <v/>
      </c>
      <c r="J93" s="30"/>
    </row>
    <row r="94" spans="1:10" ht="15.75" customHeight="1">
      <c r="A94" s="23"/>
      <c r="B94" s="23"/>
      <c r="C94" s="23"/>
      <c r="D94" s="23"/>
      <c r="E94" s="23"/>
      <c r="F94" s="22" t="str">
        <f>IFERROR(IF(COUNTIF('1. Farm Information'!A:A,A94)&gt;0,"✓","⚠ MISSING!")," ")</f>
        <v>⚠ MISSING!</v>
      </c>
      <c r="G94" s="26" t="str">
        <f t="shared" si="6"/>
        <v/>
      </c>
      <c r="H94" s="26" t="str">
        <f t="shared" si="7"/>
        <v/>
      </c>
      <c r="I94" s="32" t="str">
        <f t="shared" si="8"/>
        <v/>
      </c>
      <c r="J94" s="31"/>
    </row>
    <row r="95" spans="1:10" ht="15.75" customHeight="1">
      <c r="A95" s="21"/>
      <c r="B95" s="21"/>
      <c r="C95" s="21"/>
      <c r="D95" s="21"/>
      <c r="E95" s="21"/>
      <c r="F95" s="22" t="str">
        <f>IFERROR(IF(COUNTIF('1. Farm Information'!A:A,A95)&gt;0,"✓","⚠ MISSING!")," ")</f>
        <v>⚠ MISSING!</v>
      </c>
      <c r="G95" s="26" t="str">
        <f t="shared" si="6"/>
        <v/>
      </c>
      <c r="H95" s="26" t="str">
        <f t="shared" si="7"/>
        <v/>
      </c>
      <c r="I95" s="32" t="str">
        <f t="shared" si="8"/>
        <v/>
      </c>
      <c r="J95" s="30"/>
    </row>
    <row r="96" spans="1:10" ht="15.75" customHeight="1">
      <c r="A96" s="23"/>
      <c r="B96" s="23"/>
      <c r="C96" s="23"/>
      <c r="D96" s="23"/>
      <c r="E96" s="23"/>
      <c r="F96" s="22" t="str">
        <f>IFERROR(IF(COUNTIF('1. Farm Information'!A:A,A96)&gt;0,"✓","⚠ MISSING!")," ")</f>
        <v>⚠ MISSING!</v>
      </c>
      <c r="G96" s="26" t="str">
        <f t="shared" si="6"/>
        <v/>
      </c>
      <c r="H96" s="26" t="str">
        <f t="shared" si="7"/>
        <v/>
      </c>
      <c r="I96" s="32" t="str">
        <f t="shared" si="8"/>
        <v/>
      </c>
      <c r="J96" s="31"/>
    </row>
    <row r="97" spans="1:10" ht="15.75" customHeight="1">
      <c r="A97" s="21"/>
      <c r="B97" s="21"/>
      <c r="C97" s="21"/>
      <c r="D97" s="21"/>
      <c r="E97" s="21"/>
      <c r="F97" s="22" t="str">
        <f>IFERROR(IF(COUNTIF('1. Farm Information'!A:A,A97)&gt;0,"✓","⚠ MISSING!")," ")</f>
        <v>⚠ MISSING!</v>
      </c>
      <c r="G97" s="26" t="str">
        <f t="shared" si="6"/>
        <v/>
      </c>
      <c r="H97" s="26" t="str">
        <f t="shared" si="7"/>
        <v/>
      </c>
      <c r="I97" s="32" t="str">
        <f t="shared" si="8"/>
        <v/>
      </c>
      <c r="J97" s="30"/>
    </row>
    <row r="98" spans="1:10" ht="15.75" customHeight="1">
      <c r="A98" s="23"/>
      <c r="B98" s="23"/>
      <c r="C98" s="23"/>
      <c r="D98" s="23"/>
      <c r="E98" s="23"/>
      <c r="F98" s="22" t="str">
        <f>IFERROR(IF(COUNTIF('1. Farm Information'!A:A,A98)&gt;0,"✓","⚠ MISSING!")," ")</f>
        <v>⚠ MISSING!</v>
      </c>
      <c r="G98" s="26" t="str">
        <f t="shared" si="6"/>
        <v/>
      </c>
      <c r="H98" s="26" t="str">
        <f t="shared" si="7"/>
        <v/>
      </c>
      <c r="I98" s="32" t="str">
        <f t="shared" si="8"/>
        <v/>
      </c>
      <c r="J98" s="31"/>
    </row>
    <row r="99" spans="1:10" ht="15.75" customHeight="1">
      <c r="A99" s="21"/>
      <c r="B99" s="21"/>
      <c r="C99" s="21"/>
      <c r="D99" s="21"/>
      <c r="E99" s="21"/>
      <c r="F99" s="22" t="str">
        <f>IFERROR(IF(COUNTIF('1. Farm Information'!A:A,A99)&gt;0,"✓","⚠ MISSING!")," ")</f>
        <v>⚠ MISSING!</v>
      </c>
      <c r="G99" s="26" t="str">
        <f t="shared" si="6"/>
        <v/>
      </c>
      <c r="H99" s="26" t="str">
        <f t="shared" si="7"/>
        <v/>
      </c>
      <c r="I99" s="32" t="str">
        <f t="shared" si="8"/>
        <v/>
      </c>
      <c r="J99" s="30"/>
    </row>
    <row r="100" spans="1:10" ht="15.75" customHeight="1">
      <c r="A100" s="23"/>
      <c r="B100" s="23"/>
      <c r="C100" s="23"/>
      <c r="D100" s="23"/>
      <c r="E100" s="23"/>
      <c r="F100" s="22" t="str">
        <f>IFERROR(IF(COUNTIF('1. Farm Information'!A:A,A100)&gt;0,"✓","⚠ MISSING!")," ")</f>
        <v>⚠ MISSING!</v>
      </c>
      <c r="G100" s="26" t="str">
        <f t="shared" si="6"/>
        <v/>
      </c>
      <c r="H100" s="26" t="str">
        <f t="shared" si="7"/>
        <v/>
      </c>
      <c r="I100" s="32" t="str">
        <f t="shared" si="8"/>
        <v/>
      </c>
      <c r="J100" s="31"/>
    </row>
    <row r="101" spans="1:10" ht="15.75" customHeight="1">
      <c r="A101" s="21"/>
      <c r="B101" s="21"/>
      <c r="C101" s="21"/>
      <c r="D101" s="21"/>
      <c r="E101" s="21"/>
      <c r="F101" s="22" t="str">
        <f>IFERROR(IF(COUNTIF('1. Farm Information'!A:A,A101)&gt;0,"✓","⚠ MISSING!")," ")</f>
        <v>⚠ MISSING!</v>
      </c>
      <c r="G101" s="26" t="str">
        <f t="shared" si="6"/>
        <v/>
      </c>
      <c r="H101" s="26" t="str">
        <f t="shared" si="7"/>
        <v/>
      </c>
      <c r="I101" s="32" t="str">
        <f t="shared" si="8"/>
        <v/>
      </c>
      <c r="J101" s="30"/>
    </row>
    <row r="102" spans="1:10" ht="15.75" customHeight="1">
      <c r="A102" s="23"/>
      <c r="B102" s="23"/>
      <c r="C102" s="23"/>
      <c r="D102" s="23"/>
      <c r="E102" s="23"/>
      <c r="F102" s="22" t="str">
        <f>IFERROR(IF(COUNTIF('1. Farm Information'!A:A,A102)&gt;0,"✓","⚠ MISSING!")," ")</f>
        <v>⚠ MISSING!</v>
      </c>
      <c r="G102" s="26" t="str">
        <f t="shared" si="6"/>
        <v/>
      </c>
      <c r="H102" s="26" t="str">
        <f t="shared" si="7"/>
        <v/>
      </c>
      <c r="I102" s="32" t="str">
        <f t="shared" si="8"/>
        <v/>
      </c>
      <c r="J102" s="31"/>
    </row>
    <row r="103" spans="1:10" ht="15.75" customHeight="1">
      <c r="A103" s="21"/>
      <c r="B103" s="21"/>
      <c r="C103" s="21"/>
      <c r="D103" s="21"/>
      <c r="E103" s="21"/>
      <c r="F103" s="22" t="str">
        <f>IFERROR(IF(COUNTIF('1. Farm Information'!A:A,A103)&gt;0,"✓","⚠ MISSING!")," ")</f>
        <v>⚠ MISSING!</v>
      </c>
      <c r="G103" s="26" t="str">
        <f t="shared" si="6"/>
        <v/>
      </c>
      <c r="H103" s="26" t="str">
        <f t="shared" si="7"/>
        <v/>
      </c>
      <c r="I103" s="32" t="str">
        <f t="shared" si="8"/>
        <v/>
      </c>
      <c r="J103" s="30"/>
    </row>
    <row r="104" spans="1:10" ht="15.75" customHeight="1">
      <c r="A104" s="23"/>
      <c r="B104" s="23"/>
      <c r="C104" s="23"/>
      <c r="D104" s="23"/>
      <c r="E104" s="23"/>
      <c r="F104" s="22" t="str">
        <f>IFERROR(IF(COUNTIF('1. Farm Information'!A:A,A104)&gt;0,"✓","⚠ MISSING!")," ")</f>
        <v>⚠ MISSING!</v>
      </c>
      <c r="G104" s="26" t="str">
        <f t="shared" si="6"/>
        <v/>
      </c>
      <c r="H104" s="26" t="str">
        <f t="shared" si="7"/>
        <v/>
      </c>
      <c r="I104" s="32" t="str">
        <f t="shared" si="8"/>
        <v/>
      </c>
      <c r="J104" s="31"/>
    </row>
  </sheetData>
  <mergeCells count="3">
    <mergeCell ref="A1:J1"/>
    <mergeCell ref="A2:E2"/>
    <mergeCell ref="F2:J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5"/>
  <sheetViews>
    <sheetView showGridLines="0" topLeftCell="A5" zoomScaleNormal="100" workbookViewId="0"/>
  </sheetViews>
  <sheetFormatPr defaultColWidth="8.7109375" defaultRowHeight="14.25"/>
  <cols>
    <col min="1" max="1" width="5" customWidth="1"/>
    <col min="2" max="2" width="40" customWidth="1"/>
    <col min="3" max="3" width="18" customWidth="1"/>
    <col min="4" max="5" width="28" customWidth="1"/>
  </cols>
  <sheetData>
    <row r="1" spans="2:5" ht="27.75" customHeight="1">
      <c r="B1" s="37" t="s">
        <v>277</v>
      </c>
      <c r="C1" s="37"/>
      <c r="D1" s="37"/>
      <c r="E1" s="37"/>
    </row>
    <row r="2" spans="2:5" ht="19.5" customHeight="1">
      <c r="B2" s="49" t="s">
        <v>278</v>
      </c>
      <c r="C2" s="49"/>
      <c r="D2" s="49"/>
      <c r="E2" s="49"/>
    </row>
    <row r="4" spans="2:5" ht="19.5" customHeight="1">
      <c r="B4" s="50" t="s">
        <v>279</v>
      </c>
      <c r="C4" s="50"/>
      <c r="D4" s="50"/>
      <c r="E4" s="50"/>
    </row>
    <row r="5" spans="2:5" ht="18" customHeight="1">
      <c r="B5" s="33" t="s">
        <v>280</v>
      </c>
      <c r="C5" s="34">
        <f>COUNTA('1. Farm Information'!A5:A104)</f>
        <v>0</v>
      </c>
      <c r="D5" s="51" t="s">
        <v>281</v>
      </c>
      <c r="E5" s="51"/>
    </row>
    <row r="6" spans="2:5" ht="18" customHeight="1">
      <c r="B6" s="35" t="s">
        <v>282</v>
      </c>
      <c r="C6" s="34">
        <f>COUNTIF('1. Farm Information'!W5:W104,"⚠ MISSING!")</f>
        <v>0</v>
      </c>
      <c r="D6" s="52" t="s">
        <v>283</v>
      </c>
      <c r="E6" s="52"/>
    </row>
    <row r="7" spans="2:5" ht="18" customHeight="1">
      <c r="B7" s="33" t="s">
        <v>284</v>
      </c>
      <c r="C7" s="34">
        <f>COUNTIF('1. Farm Information'!X5:X104,"⚠ MISSING!")</f>
        <v>0</v>
      </c>
      <c r="D7" s="51" t="s">
        <v>285</v>
      </c>
      <c r="E7" s="51"/>
    </row>
    <row r="8" spans="2:5" ht="19.5" customHeight="1">
      <c r="B8" s="50" t="s">
        <v>286</v>
      </c>
      <c r="C8" s="50"/>
      <c r="D8" s="50"/>
      <c r="E8" s="50"/>
    </row>
    <row r="9" spans="2:5" ht="18" customHeight="1">
      <c r="B9" s="33" t="s">
        <v>287</v>
      </c>
      <c r="C9" s="34">
        <f>COUNTA('2. Certified Crop'!A5:A104)</f>
        <v>0</v>
      </c>
      <c r="D9" s="51" t="s">
        <v>288</v>
      </c>
      <c r="E9" s="51"/>
    </row>
    <row r="10" spans="2:5" ht="18" customHeight="1">
      <c r="B10" s="35" t="s">
        <v>289</v>
      </c>
      <c r="C10" s="36">
        <f>SUM('2. Certified Crop'!D5:D104)</f>
        <v>0</v>
      </c>
      <c r="D10" s="52" t="s">
        <v>290</v>
      </c>
      <c r="E10" s="52"/>
    </row>
    <row r="11" spans="2:5" ht="18" customHeight="1">
      <c r="B11" s="33" t="s">
        <v>291</v>
      </c>
      <c r="C11" s="36">
        <f>SUM('2. Certified Crop'!E5:E104)</f>
        <v>0</v>
      </c>
      <c r="D11" s="51" t="s">
        <v>292</v>
      </c>
      <c r="E11" s="51"/>
    </row>
    <row r="12" spans="2:5" ht="18" customHeight="1">
      <c r="B12" s="35" t="s">
        <v>293</v>
      </c>
      <c r="C12" s="36">
        <f>SUM('2. Certified Crop'!F5:F104)</f>
        <v>0</v>
      </c>
      <c r="D12" s="52" t="s">
        <v>294</v>
      </c>
      <c r="E12" s="52"/>
    </row>
    <row r="13" spans="2:5" ht="18" customHeight="1">
      <c r="B13" s="33" t="s">
        <v>295</v>
      </c>
      <c r="C13" s="36">
        <f>SUM('2. Certified Crop'!G5:G104)</f>
        <v>0</v>
      </c>
      <c r="D13" s="51" t="s">
        <v>296</v>
      </c>
      <c r="E13" s="51"/>
    </row>
    <row r="14" spans="2:5" ht="18" customHeight="1">
      <c r="B14" s="35" t="s">
        <v>297</v>
      </c>
      <c r="C14" s="36" t="str">
        <f>IFERROR(SUM('2. Certified Crop'!E5:E104)/SUM('2. Certified Crop'!D5:D104),"—")</f>
        <v>—</v>
      </c>
      <c r="D14" s="52" t="s">
        <v>298</v>
      </c>
      <c r="E14" s="52"/>
    </row>
    <row r="15" spans="2:5" ht="18" customHeight="1">
      <c r="B15" s="33" t="s">
        <v>299</v>
      </c>
      <c r="C15" s="36" t="str">
        <f>IFERROR(SUM('2. Certified Crop'!F5:F104)/SUM('2. Certified Crop'!D5:D104),"—")</f>
        <v>—</v>
      </c>
      <c r="D15" s="51" t="s">
        <v>300</v>
      </c>
      <c r="E15" s="51"/>
    </row>
    <row r="16" spans="2:5" ht="18" customHeight="1">
      <c r="B16" s="35" t="s">
        <v>301</v>
      </c>
      <c r="C16" s="34">
        <f>COUNTIF('2. Certified Crop'!I5:I104,"⚠ Vol&gt;Harvest")</f>
        <v>0</v>
      </c>
      <c r="D16" s="52" t="s">
        <v>302</v>
      </c>
      <c r="E16" s="52"/>
    </row>
    <row r="17" spans="2:5" ht="19.5" customHeight="1">
      <c r="B17" s="50" t="s">
        <v>303</v>
      </c>
      <c r="C17" s="50"/>
      <c r="D17" s="50"/>
      <c r="E17" s="50"/>
    </row>
    <row r="18" spans="2:5" ht="18" customHeight="1">
      <c r="B18" s="33" t="s">
        <v>304</v>
      </c>
      <c r="C18" s="34">
        <f>COUNTA('3. Farm Unit'!A5:A104)</f>
        <v>0</v>
      </c>
      <c r="D18" s="51" t="s">
        <v>305</v>
      </c>
      <c r="E18" s="51"/>
    </row>
    <row r="19" spans="2:5" ht="18" customHeight="1">
      <c r="B19" s="35" t="s">
        <v>306</v>
      </c>
      <c r="C19" s="36">
        <f>SUM('3. Farm Unit'!C5:C104)</f>
        <v>0</v>
      </c>
      <c r="D19" s="52" t="s">
        <v>307</v>
      </c>
      <c r="E19" s="52"/>
    </row>
    <row r="20" spans="2:5" ht="18" customHeight="1">
      <c r="B20" s="33" t="s">
        <v>308</v>
      </c>
      <c r="C20" s="34">
        <f>COUNTIF('3. Farm Unit'!G5:G104,"⚠ Check value")</f>
        <v>0</v>
      </c>
      <c r="D20" s="51" t="s">
        <v>309</v>
      </c>
      <c r="E20" s="51"/>
    </row>
    <row r="21" spans="2:5" ht="18" customHeight="1">
      <c r="B21" s="35" t="s">
        <v>310</v>
      </c>
      <c r="C21" s="34">
        <f>COUNTIF('3. Farm Unit'!H5:H104,"⚠ Check value")</f>
        <v>0</v>
      </c>
      <c r="D21" s="52" t="s">
        <v>311</v>
      </c>
      <c r="E21" s="52"/>
    </row>
    <row r="22" spans="2:5" ht="18" customHeight="1">
      <c r="B22" s="33" t="s">
        <v>312</v>
      </c>
      <c r="C22" s="34">
        <f>COUNTIF('3. Farm Unit'!I5:I104,"★ Largest")</f>
        <v>0</v>
      </c>
      <c r="D22" s="51" t="s">
        <v>313</v>
      </c>
      <c r="E22" s="51"/>
    </row>
    <row r="23" spans="2:5" ht="19.5" customHeight="1">
      <c r="B23" s="53" t="s">
        <v>314</v>
      </c>
      <c r="C23" s="53"/>
      <c r="D23" s="53"/>
      <c r="E23" s="53"/>
    </row>
    <row r="24" spans="2:5" ht="18" customHeight="1">
      <c r="B24" s="33" t="s">
        <v>315</v>
      </c>
      <c r="C24" s="36">
        <f>SUM('1. Farm Information'!U5:U104)</f>
        <v>0</v>
      </c>
      <c r="D24" s="51" t="s">
        <v>316</v>
      </c>
      <c r="E24" s="51"/>
    </row>
    <row r="25" spans="2:5" ht="18" customHeight="1">
      <c r="B25" s="35" t="s">
        <v>317</v>
      </c>
      <c r="C25" s="36">
        <f>SUM('1. Farm Information'!V5:V104)</f>
        <v>0</v>
      </c>
      <c r="D25" s="52" t="s">
        <v>318</v>
      </c>
      <c r="E25" s="52"/>
    </row>
  </sheetData>
  <mergeCells count="24">
    <mergeCell ref="D22:E22"/>
    <mergeCell ref="B23:E23"/>
    <mergeCell ref="D24:E24"/>
    <mergeCell ref="D25:E25"/>
    <mergeCell ref="B17:E17"/>
    <mergeCell ref="D18:E18"/>
    <mergeCell ref="D19:E19"/>
    <mergeCell ref="D20:E20"/>
    <mergeCell ref="D21:E21"/>
    <mergeCell ref="D12:E12"/>
    <mergeCell ref="D13:E13"/>
    <mergeCell ref="D14:E14"/>
    <mergeCell ref="D15:E15"/>
    <mergeCell ref="D16:E16"/>
    <mergeCell ref="D7:E7"/>
    <mergeCell ref="B8:E8"/>
    <mergeCell ref="D9:E9"/>
    <mergeCell ref="D10:E10"/>
    <mergeCell ref="D11:E11"/>
    <mergeCell ref="B1:E1"/>
    <mergeCell ref="B2:E2"/>
    <mergeCell ref="B4:E4"/>
    <mergeCell ref="D5:E5"/>
    <mergeCell ref="D6:E6"/>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Props1.xml><?xml version="1.0" encoding="utf-8"?>
<ds:datastoreItem xmlns:ds="http://schemas.openxmlformats.org/officeDocument/2006/customXml" ds:itemID="{E6A10EC5-C6CD-4AF2-819C-3A11FAFBD35D}"/>
</file>

<file path=customXml/itemProps2.xml><?xml version="1.0" encoding="utf-8"?>
<ds:datastoreItem xmlns:ds="http://schemas.openxmlformats.org/officeDocument/2006/customXml" ds:itemID="{C10BD265-E91E-42EB-9F37-865ABDD9CDF9}"/>
</file>

<file path=customXml/itemProps3.xml><?xml version="1.0" encoding="utf-8"?>
<ds:datastoreItem xmlns:ds="http://schemas.openxmlformats.org/officeDocument/2006/customXml" ds:itemID="{A91A802D-38BC-484B-A969-6E63F0B592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Brian To</cp:lastModifiedBy>
  <cp:revision>0</cp:revision>
  <dcterms:created xsi:type="dcterms:W3CDTF">2026-05-07T13:53:28Z</dcterms:created>
  <dcterms:modified xsi:type="dcterms:W3CDTF">2026-06-23T08:11:23Z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