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1" documentId="11_A83C1972F8590BCF549FE42278C1F06B4DBA9212" xr6:coauthVersionLast="47" xr6:coauthVersionMax="47" xr10:uidLastSave="{7FB2046B-35D6-4F6B-936A-6A6B93DA6F37}"/>
  <bookViews>
    <workbookView xWindow="0" yWindow="0" windowWidth="16384" windowHeight="8192" tabRatio="500" xr2:uid="{00000000-000D-0000-FFFF-FFFF00000000}"/>
  </bookViews>
  <sheets>
    <sheet name="Coaching Report" sheetId="1" r:id="rId1"/>
    <sheet name="Developer Spec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" i="1" l="1"/>
  <c r="T2" i="1"/>
  <c r="O2" i="1"/>
  <c r="K2" i="1"/>
  <c r="G2" i="1"/>
  <c r="B2" i="1"/>
</calcChain>
</file>

<file path=xl/sharedStrings.xml><?xml version="1.0" encoding="utf-8"?>
<sst xmlns="http://schemas.openxmlformats.org/spreadsheetml/2006/main" count="179" uniqueCount="176">
  <si>
    <t>ImpactCocoa  |  Individual Farmer Coaching Report  |  AgroEco Ghana</t>
  </si>
  <si>
    <t>Total visits:</t>
  </si>
  <si>
    <t>Visits with NC:</t>
  </si>
  <si>
    <t>Open follow-ups:</t>
  </si>
  <si>
    <t>⚠ CLMRS – At Risk/Case:</t>
  </si>
  <si>
    <t>Next follow-up due:</t>
  </si>
  <si>
    <t>% visits compliant:</t>
  </si>
  <si>
    <t>VISIT IDENTITY  (Header + Sec A)</t>
  </si>
  <si>
    <t>FARM PROFILE  (Sec A)</t>
  </si>
  <si>
    <t>PRACTICE ASSESSMENT  (Secs I–O)</t>
  </si>
  <si>
    <t>CLMRS  (Sec H)</t>
  </si>
  <si>
    <t>NON-COMPLIANCE &amp; COACHING  (Sec P/Q)</t>
  </si>
  <si>
    <t>FOLLOW-UP &amp; SIGN-OFF  (Sec P/Q)</t>
  </si>
  <si>
    <t>Visit
#</t>
  </si>
  <si>
    <t>Visit Date</t>
  </si>
  <si>
    <t>Coach Name</t>
  </si>
  <si>
    <t>Farmer Code</t>
  </si>
  <si>
    <t>Farmer Name</t>
  </si>
  <si>
    <t>Society /
Community</t>
  </si>
  <si>
    <t>District</t>
  </si>
  <si>
    <t>Plot / Field ID</t>
  </si>
  <si>
    <t>Weeding
OK?
(GAP)</t>
  </si>
  <si>
    <t>Pruning
OK?
(GAP)</t>
  </si>
  <si>
    <t>Shade
Trees?
(GAP)</t>
  </si>
  <si>
    <t>Chemicals
&amp; PPE OK?
(IPM)</t>
  </si>
  <si>
    <t>No Defor-
estation?
(GEP)</t>
  </si>
  <si>
    <t>Workers
OK?
(GSP)</t>
  </si>
  <si>
    <t>Records
&amp; Training
(M+N)</t>
  </si>
  <si>
    <t>CLMRS
Risk Level</t>
  </si>
  <si>
    <t>Children
Observed
Working?</t>
  </si>
  <si>
    <t>Non-
Compliance
Observed?</t>
  </si>
  <si>
    <t>Coaching Advice Given
&amp; Gaps Identified
(Secs P+Q)</t>
  </si>
  <si>
    <t>Follow-Up
Required?</t>
  </si>
  <si>
    <t>Next
Follow-Up
Date</t>
  </si>
  <si>
    <t>Coach &amp;
Farmer
Sign-off</t>
  </si>
  <si>
    <t>coaching_visits
.visit_sequence
(derived)</t>
  </si>
  <si>
    <t>coaching_visits
.visit_date
(visit_header: r7)</t>
  </si>
  <si>
    <t>coaching_visits
.coach_name
(visit_header: r6)</t>
  </si>
  <si>
    <t>coaching_visits
.farmer_code
(sec_a: r10)</t>
  </si>
  <si>
    <t>coaching_visits
.farmer_name
(calculated r11)</t>
  </si>
  <si>
    <t>coaching_visits
.society
(sec_a: r13)</t>
  </si>
  <si>
    <t>coaching_visits
.district
(sec_a: r14)</t>
  </si>
  <si>
    <t>coaching_visits
.field_id
(sec_a: r15)</t>
  </si>
  <si>
    <t>coaching_visits
.gap_weeded
(sec_i: r141)
Yes/Partly/No</t>
  </si>
  <si>
    <t>coaching_visits
.gap_pruning
(sec_i: r143)
Yes/Partly/No</t>
  </si>
  <si>
    <t>coaching_visits
.gap_shade_trees
(sec_i: r144)
Yes/No</t>
  </si>
  <si>
    <t>coaching_visits
.ipm_approved +
ipm_ppe
(sec_j: r150-151)</t>
  </si>
  <si>
    <t>coaching_visits
.gep_deforestation
(sec_k: r156)
Yes=RISK</t>
  </si>
  <si>
    <t>coaching_visits
.gsp_fair_pay +
gsp_forced_labour
(sec_l: r163+r165)</t>
  </si>
  <si>
    <t>coaching_visits
.trace_farm_records
(sec_m: r170)
train_received
(sec_n: r176)</t>
  </si>
  <si>
    <t>coaching_visits
.cl_obs_risk_level
(sec_h obs: r135)
No Risk/At Risk/
CL Case</t>
  </si>
  <si>
    <t>coaching_visits
.cl_obs_child_working
(sec_h obs: r130)
Yes/No</t>
  </si>
  <si>
    <t>coaching_visits
.non_compliance_observed
(sec_p)
Yes/No</t>
  </si>
  <si>
    <t>coaching_visits
.coaching_advice +
gaps_identified
(sec_p/q)</t>
  </si>
  <si>
    <t>coaching_visits
.follow_up_required
(sec_p)
Yes/No</t>
  </si>
  <si>
    <t>coaching_visits
.next_followup_date
(sec_p)</t>
  </si>
  <si>
    <t>coaching_visits
.coach_signoff +
farmer_signoff
(sec_q)</t>
  </si>
  <si>
    <t>Individual Farmer Coaching Report — Developer Specification  |  ImpactCocoa ERP</t>
  </si>
  <si>
    <t>Specification for Brian To (Ondora Global JSC) to implement the Individual Farmer Coaching Report in the ImpactCocoa ERP. Source form: Farmer_Coaching_XLSForm_1.xlsx (IMP-COACH).</t>
  </si>
  <si>
    <t>1.  REPORT OVERVIEW</t>
  </si>
  <si>
    <t>Report name:</t>
  </si>
  <si>
    <t>Individual Farmer Coaching Report</t>
  </si>
  <si>
    <t>Report ID:</t>
  </si>
  <si>
    <t>FR-COACH-01</t>
  </si>
  <si>
    <t>ERP location:</t>
  </si>
  <si>
    <t>Reports → Training &amp; Coaching → Individual Farmer Coaching Report</t>
  </si>
  <si>
    <t>Grain / row:</t>
  </si>
  <si>
    <t>One row per coaching visit per farmer. Typical volume: 4,000+ farmers × multiple visits/season.</t>
  </si>
  <si>
    <t>Source form:</t>
  </si>
  <si>
    <t>IMP-COACH — Farmer Coaching Visit XLSForm v1.0. Form sections: Visit Header · A (Farm Profile) · B–G (Repeat activity logs) · H (CLMRS, 4 sub-groups) · I–O (Practice assessment) · P (Observation) · Q (Coaching Summary).</t>
  </si>
  <si>
    <t>Purpose:</t>
  </si>
  <si>
    <t>Track the coaching history, farm practice compliance, and CLMRS status for each farmer across all coaching visits. Used by IMS Managers and CDOs to monitor farmer improvement over time.</t>
  </si>
  <si>
    <t>Export formats:</t>
  </si>
  <si>
    <t>Excel (.xlsx), CSV. Filtered by farmer_code for the per-farmer view.</t>
  </si>
  <si>
    <t>Access:</t>
  </si>
  <si>
    <t>IMS Managers: all farmers in own district. Field Officers / Coaches: own assigned farmers only.</t>
  </si>
  <si>
    <t>2.  DATABASE TABLES REQUIRED</t>
  </si>
  <si>
    <t>coaching_visits  (parent table — one row per visit):</t>
  </si>
  <si>
    <t>CREATE TABLE coaching_visits (
  visit_id          SERIAL PRIMARY KEY,
  farmer_code       TEXT NOT NULL REFERENCES farmer_master(farmer_code),
  visit_date        DATE NOT NULL,
  coach_name        TEXT NOT NULL,             -- FK to staff_master recommended
  field_id          TEXT REFERENCES plot_master(plot_id),
  farm_size_ha      DECIMAL(8,3),
  num_plots         INTEGER,
  avg_tree_age      INTEGER,
  -- Practice assessment (Secs I–O) stored as ENUMs
  gap_weeded        VARCHAR(10),               -- 'yes' | 'partly' | 'no'
  gap_pruning       VARCHAR(10),
  gap_shade_trees   VARCHAR(5),                -- 'yes' | 'no'
  gap_pests_disease VARCHAR(5),
  ipm_uses_agrochem VARCHAR(5),
  ipm_approved      VARCHAR(5),
  ipm_ppe           VARCHAR(5),
  ipm_storage       VARCHAR(5),
  ipm_records       VARCHAR(5),
  gep_deforestation VARCHAR(5),               -- 'yes' = HIGH RISK
  gep_trees_conserved VARCHAR(5),
  gep_buffer_zone   VARCHAR(5),
  gep_waste         VARCHAR(5),
  gsp_fair_pay      VARCHAR(5),
  gsp_ppe           VARCHAR(5),
  gsp_forced_labour VARCHAR(5),               -- 'yes' = HIGH RISK
  gsp_water         VARCHAR(5),
  gsp_first_aid     VARCHAR(5),
  trace_farm_records VARCHAR(5),
  trace_gps_mapped  VARCHAR(5),
  trace_production  VARCHAR(5),
  trace_sales       VARCHAR(5),
  train_received    VARCHAR(5),
  train_cert_understand VARCHAR(5),
  griev_aware       VARCHAR(5),
  griev_know_where  VARCHAR(5),
  -- CLMRS observation (Sec H4)
  cl_obs_child_working  VARCHAR(5),
  cl_obs_risk_level     VARCHAR(20),          -- 'no_risk' | 'at_risk' | 'case'
  cl_obs_concern        TEXT,
  cl_obs_action         TEXT,
  -- CLMRS household (Sec H2 — key fields only)
  cl_children_in_hh     VARCHAR(5),
  cl_num_children       INTEGER,
  cl_children_help      VARCHAR(5),
  cl_miss_school        VARCHAR(5),
  cl_spray_chemicals    VARCHAR(5),
  cl_sharp_tools        VARCHAR(5),
  -- Coaching outcome (Secs P+Q)
  farm_condition        VARCHAR(10),          -- 'good' | 'fair' | 'poor'
  non_compliance_observed VARCHAR(5),
  non_compliance_desc   TEXT,
  coaching_advice       TEXT,
  good_practices        TEXT,
  gaps_identified       TEXT,
  follow_up_required    VARCHAR(5),
  next_followup_date    DATE,
  followup_period       TEXT,
  coach_signoff         TEXT,
  farmer_signoff        TEXT,
  created_at            TIMESTAMP DEFAULT NOW()
);</t>
  </si>
  <si>
    <t>activity_log  (child table — one row per repeat entry, Secs B–G):</t>
  </si>
  <si>
    <t>CREATE TABLE coaching_activity_log (
  log_id         SERIAL PRIMARY KEY,
  visit_id       INTEGER NOT NULL REFERENCES coaching_visits(visit_id),
  farmer_code    TEXT NOT NULL,
  section        VARCHAR(5) NOT NULL,          -- 'B' | 'C' | 'D' | 'E' | 'F' | 'G'
  activity_date  DATE,
  activity_type  TEXT,                         -- chemical type / fertilizer type / weeding method etc.
  product_name   TEXT,                         -- chem_product / fert_product
  quantity       DECIMAL(10,3),
  unit           TEXT,
  area_ha        DECIMAL(8,3),
  person_responsible TEXT,
  ppe_used       TEXT,                         -- comma-separated multi-select
  correct_dosage VARCHAR(5),                   -- Sec B only
  buffer_zones   VARCHAR(5),                   -- Sec B only
  container_disposal TEXT,                     -- Sec B only
  reentry        VARCHAR(5),                   -- Sec B only
  remarks        TEXT
);</t>
  </si>
  <si>
    <t>3.  REFERENCE SQL QUERY  (PostgreSQL)</t>
  </si>
  <si>
    <t>Generates the flat coaching report — one row per visit. The visit_sequence is derived using ROW_NUMBER partitioned by farmer_code.</t>
  </si>
  <si>
    <t>SELECT</t>
  </si>
  <si>
    <t xml:space="preserve">  -- VISIT IDENTITY</t>
  </si>
  <si>
    <t xml:space="preserve">  ROW_NUMBER() OVER (</t>
  </si>
  <si>
    <t xml:space="preserve">    PARTITION BY cv.farmer_code</t>
  </si>
  <si>
    <t xml:space="preserve">    ORDER BY cv.visit_date ASC</t>
  </si>
  <si>
    <t xml:space="preserve">  )                                            AS visit_sequence,</t>
  </si>
  <si>
    <t xml:space="preserve">  cv.visit_date,</t>
  </si>
  <si>
    <t xml:space="preserve">  cv.coach_name,</t>
  </si>
  <si>
    <t xml:space="preserve">  cv.farmer_code,</t>
  </si>
  <si>
    <t xml:space="preserve">  -- FARM PROFILE</t>
  </si>
  <si>
    <t xml:space="preserve">  fm.first_name || ' ' || fm.surname           AS farmer_name,</t>
  </si>
  <si>
    <t xml:space="preserve">  fm.society_name,</t>
  </si>
  <si>
    <t xml:space="preserve">  fm.district,</t>
  </si>
  <si>
    <t xml:space="preserve">  cv.field_id,</t>
  </si>
  <si>
    <t xml:space="preserve">  -- PRACTICE ASSESSMENT (Secs I–O)</t>
  </si>
  <si>
    <t xml:space="preserve">  cv.gap_weeded,</t>
  </si>
  <si>
    <t xml:space="preserve">  cv.gap_pruning,</t>
  </si>
  <si>
    <t xml:space="preserve">  cv.gap_shade_trees,</t>
  </si>
  <si>
    <t xml:space="preserve">  CASE</t>
  </si>
  <si>
    <t xml:space="preserve">    WHEN cv.ipm_approved = 'yes' AND cv.ipm_ppe = 'yes' THEN 'Yes'</t>
  </si>
  <si>
    <t xml:space="preserve">    WHEN cv.ipm_approved = 'no'  OR cv.ipm_ppe = 'no'  THEN 'No'</t>
  </si>
  <si>
    <t xml:space="preserve">    ELSE 'N/A'</t>
  </si>
  <si>
    <t xml:space="preserve">  END                                          AS chemicals_ppe_ok,</t>
  </si>
  <si>
    <t xml:space="preserve">  cv.gep_deforestation,</t>
  </si>
  <si>
    <t xml:space="preserve">    WHEN cv.gsp_forced_labour = 'yes' THEN 'No – Forced Labour'</t>
  </si>
  <si>
    <t xml:space="preserve">    WHEN cv.gsp_fair_pay = 'no'       THEN 'No – Underpayment'</t>
  </si>
  <si>
    <t xml:space="preserve">    ELSE 'Yes'</t>
  </si>
  <si>
    <t xml:space="preserve">  END                                          AS workers_ok,</t>
  </si>
  <si>
    <t xml:space="preserve">    WHEN cv.trace_farm_records = 'yes'</t>
  </si>
  <si>
    <t xml:space="preserve">     AND cv.train_received = 'yes'            THEN 'Yes'</t>
  </si>
  <si>
    <t xml:space="preserve">    WHEN cv.trace_farm_records = 'no'</t>
  </si>
  <si>
    <t xml:space="preserve">      OR cv.train_received = 'no'             THEN 'Partial'</t>
  </si>
  <si>
    <t xml:space="preserve">    ELSE 'No'</t>
  </si>
  <si>
    <t xml:space="preserve">  END                                          AS records_training_ok,</t>
  </si>
  <si>
    <t xml:space="preserve">  -- CLMRS</t>
  </si>
  <si>
    <t xml:space="preserve">  cv.cl_obs_risk_level,</t>
  </si>
  <si>
    <t xml:space="preserve">  cv.cl_obs_child_working,</t>
  </si>
  <si>
    <t xml:space="preserve">  -- NON-COMPLIANCE &amp; COACHING</t>
  </si>
  <si>
    <t xml:space="preserve">  cv.non_compliance_observed,</t>
  </si>
  <si>
    <t xml:space="preserve">  cv.coaching_advice || ' | Gaps: ' || COALESCE(cv.gaps_identified, '—')</t>
  </si>
  <si>
    <t xml:space="preserve">                                               AS coaching_advice_and_gaps,</t>
  </si>
  <si>
    <t xml:space="preserve">  -- FOLLOW-UP</t>
  </si>
  <si>
    <t xml:space="preserve">  cv.follow_up_required,</t>
  </si>
  <si>
    <t xml:space="preserve">  cv.next_followup_date,</t>
  </si>
  <si>
    <t xml:space="preserve">  cv.coach_signoff || ' / ' || cv.farmer_signoff AS signoffs</t>
  </si>
  <si>
    <t>FROM coaching_visits cv</t>
  </si>
  <si>
    <t>JOIN farmer_master fm ON cv.farmer_code = fm.farmer_code</t>
  </si>
  <si>
    <t>-- Optional filters (pass as API query params):</t>
  </si>
  <si>
    <t>-- WHERE cv.farmer_code = :farmer_code</t>
  </si>
  <si>
    <t>-- AND cv.visit_date BETWEEN :from_date AND :to_date</t>
  </si>
  <si>
    <t>ORDER BY cv.farmer_code, cv.visit_date ASC;</t>
  </si>
  <si>
    <t>4.  CLMRS ESCALATION LOGIC  (col R — Risk Level)</t>
  </si>
  <si>
    <t>Three values:</t>
  </si>
  <si>
    <t>no_risk  |  at_risk  |  case  (from cl_obs_risk_level)</t>
  </si>
  <si>
    <t>Display labels:</t>
  </si>
  <si>
    <t>no_risk → 'No Risk' (green)  |  at_risk → 'At Risk ⚠' (amber)  |  case → 'Child Labour Case ❌' (red bold)</t>
  </si>
  <si>
    <t>Escalation rule:</t>
  </si>
  <si>
    <t>IF cl_obs_risk_level IN ('at_risk', 'case'):
  → Notify CDO (Child Development Officer) within 24 hours
  → Create a corrective_actions record with due_date = visit_date + 14 days
  → Flag farmer profile with CLMRS alert badge in ERP
  → Follow-up coaching visit must be scheduled within 30 days
IF cl_spray_chemicals = 'yes' OR cl_sharp_tools = 'yes' OR cl_miss_school = 'yes':
  → Auto-flag as 'at_risk' minimum, even if enumerator selected 'no_risk'
  → This is a data quality override rule.</t>
  </si>
  <si>
    <t>5.  PRACTICE ASSESSMENT DISPLAY RULES  (cols I–O)</t>
  </si>
  <si>
    <t>gap_weeded / gap_pruning:</t>
  </si>
  <si>
    <t>'yes' → green  |  'partly' → amber  |  'no' → red</t>
  </si>
  <si>
    <t>gep_deforestation:</t>
  </si>
  <si>
    <t>'yes' → red badge 'EUDR RISK ⚠' — this means deforestation WAS detected, which is non-compliant. Show tooltip: 'Deforestation or encroachment after Dec 2020 reported.'</t>
  </si>
  <si>
    <t>gsp_forced_labour:</t>
  </si>
  <si>
    <t>'yes' → red bold 'FORCED LABOUR ❌' — immediate escalation required. Add to corrective_actions with due_date = visit_date + 7 days.</t>
  </si>
  <si>
    <t>Combined indicators:</t>
  </si>
  <si>
    <t>For the 'Chemicals &amp; PPE OK?' combined column: show 'Yes' only if BOTH ipm_approved='yes' AND ipm_ppe='yes'. Show 'No' if either is 'no'. Show 'N/A' if ipm_uses_agrochem='no'.</t>
  </si>
  <si>
    <t>Records &amp; Training combined:</t>
  </si>
  <si>
    <t>Show 'Yes' if trace_farm_records='yes' AND train_received='yes'. Show 'Partial' if one is yes and one is no. Show 'No' if both are no.</t>
  </si>
  <si>
    <t>6.  API ENDPOINT</t>
  </si>
  <si>
    <t>Endpoint:</t>
  </si>
  <si>
    <t>GET  /api/reports/farmer-coaching</t>
  </si>
  <si>
    <t>Auth:</t>
  </si>
  <si>
    <t>JWT required. Roles: ims_manager, project_leader, system_admin, field_officer (own farmers only)</t>
  </si>
  <si>
    <t>Query params:</t>
  </si>
  <si>
    <t>?farmer_code=  &amp;coach_name=  &amp;district=  &amp;from_date=  &amp;to_date=  &amp;clmrs_risk=no_risk|at_risk|case  &amp;format=json|csv|xlsx</t>
  </si>
  <si>
    <t>Per-farmer view:</t>
  </si>
  <si>
    <t>GET /api/reports/farmer-coaching?farmer_code=AK001&amp;format=xlsx — returns the coaching history for one farmer, filtered to their visits only. This is the individual farmer coaching report.</t>
  </si>
  <si>
    <t>Response:</t>
  </si>
  <si>
    <t>{ "meta": { "farmer_code": "AK001", "farmer_name": "...", "total_visits": 3, "open_followups": 1, "clmrs_risk": "no_risk", "generated_at": "..." }, "data": [ {...visit row...} ] }</t>
  </si>
  <si>
    <t>7.  ERP DISPLAY RULES</t>
  </si>
  <si>
    <t>KPI strip:</t>
  </si>
  <si>
    <t>Show per-farmer: Total Visits | Last Visit Date | Next Follow-Up | Open Follow-Ups | CLMRS Status</t>
  </si>
  <si>
    <t>Row colours:</t>
  </si>
  <si>
    <t>CLMRS 'case' row → red background entire row
CLMRS 'at_risk' row → amber background
gep_deforestation='yes' → red cell
gsp_forced_labour='yes' → red cell, bold</t>
  </si>
  <si>
    <t>Practice icons:</t>
  </si>
  <si>
    <t>Use ✅ / ⚠ / ❌ icons for Yes / Partly / No in practice assessment columns (cols 9–15) to make the compliance status scannable at a glance.</t>
  </si>
  <si>
    <t>Drill-down:</t>
  </si>
  <si>
    <t>Click a visit row → open full visit detail showing all 22 columns plus: farm size, tree age, CLMRS household detail, full NC description, and any repeat-group activity log entries (Secs B–G) linked to that visit.</t>
  </si>
  <si>
    <t>Filter panel:</t>
  </si>
  <si>
    <t>Filter by: Farmer Code | Coach | District | Date Range | CLMRS Risk | Follow-Up Required | Season</t>
  </si>
  <si>
    <t>Repeat group note:</t>
  </si>
  <si>
    <t>Sections B–G (chemical applications, fertilizer, weeding, pruning, harvesting, other) are stored in coaching_activity_log (child table) and shown in the drill-down view, not in the flat report. They are available via GET /api/reports/farmer-coaching/:visit_id/activities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</si>
</sst>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A5632"/>
      <name val="Arial"/>
      <charset val="1"/>
    </font>
    <font>
      <b/>
      <sz val="9"/>
      <color rgb="FFE65100"/>
      <name val="Arial"/>
      <charset val="1"/>
    </font>
    <font>
      <b/>
      <sz val="9"/>
      <color rgb="FFF57F17"/>
      <name val="Arial"/>
      <charset val="1"/>
    </font>
    <font>
      <b/>
      <sz val="9"/>
      <color rgb="FFC62828"/>
      <name val="Arial"/>
      <charset val="1"/>
    </font>
    <font>
      <b/>
      <sz val="9"/>
      <color rgb="FF00695C"/>
      <name val="Arial"/>
      <charset val="1"/>
    </font>
    <font>
      <b/>
      <sz val="9"/>
      <color rgb="FF2E7D32"/>
      <name val="Arial"/>
      <charset val="1"/>
    </font>
    <font>
      <b/>
      <sz val="9"/>
      <color rgb="FFFFFFFF"/>
      <name val="Arial"/>
      <charset val="1"/>
    </font>
    <font>
      <i/>
      <sz val="8"/>
      <color rgb="FF1565C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37474F"/>
      <name val="Arial"/>
      <charset val="1"/>
    </font>
    <font>
      <sz val="9"/>
      <name val="Arial"/>
      <charset val="1"/>
    </font>
    <font>
      <sz val="9"/>
      <color rgb="FF1A237E"/>
      <name val="Courier New"/>
      <charset val="1"/>
    </font>
  </fonts>
  <fills count="15">
    <fill>
      <patternFill patternType="none"/>
    </fill>
    <fill>
      <patternFill patternType="gray125"/>
    </fill>
    <fill>
      <patternFill patternType="solid">
        <fgColor rgb="FF1A5632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E65100"/>
        <bgColor rgb="FFF57F17"/>
      </patternFill>
    </fill>
    <fill>
      <patternFill patternType="solid">
        <fgColor rgb="FFF57F17"/>
        <bgColor rgb="FFFF8080"/>
      </patternFill>
    </fill>
    <fill>
      <patternFill patternType="solid">
        <fgColor rgb="FFC62828"/>
        <bgColor rgb="FF993366"/>
      </patternFill>
    </fill>
    <fill>
      <patternFill patternType="solid">
        <fgColor rgb="FF00695C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6A1B9A"/>
        <bgColor rgb="FF800080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8F9FF"/>
        <bgColor rgb="FFFFFFFF"/>
      </patternFill>
    </fill>
    <fill>
      <patternFill patternType="solid">
        <fgColor rgb="FF37474F"/>
        <bgColor rgb="FF1A563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9" fontId="8" fillId="3" borderId="0" xfId="0" applyNumberFormat="1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vertical="top"/>
    </xf>
    <xf numFmtId="0" fontId="16" fillId="3" borderId="1" xfId="0" applyFont="1" applyFill="1" applyBorder="1" applyAlignment="1">
      <alignment vertical="top" wrapText="1"/>
    </xf>
    <xf numFmtId="0" fontId="0" fillId="0" borderId="1" xfId="0" applyBorder="1"/>
    <xf numFmtId="0" fontId="16" fillId="12" borderId="1" xfId="0" applyFont="1" applyFill="1" applyBorder="1" applyAlignment="1">
      <alignment vertical="top" wrapText="1"/>
    </xf>
    <xf numFmtId="0" fontId="13" fillId="10" borderId="0" xfId="0" applyFont="1" applyFill="1" applyAlignment="1">
      <alignment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C0C0C0"/>
      <rgbColor rgb="FF808080"/>
      <rgbColor rgb="FF9999FF"/>
      <rgbColor rgb="FF993366"/>
      <rgbColor rgb="FFF1F8E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8F9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1A237E"/>
      <rgbColor rgb="FF2E7D32"/>
      <rgbColor rgb="FF003300"/>
      <rgbColor rgb="FF1A5632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5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7" customWidth="1"/>
    <col min="2" max="2" width="13" customWidth="1"/>
    <col min="3" max="3" width="18" customWidth="1"/>
    <col min="4" max="4" width="14" customWidth="1"/>
    <col min="5" max="5" width="22" customWidth="1"/>
    <col min="6" max="6" width="16" customWidth="1"/>
    <col min="7" max="8" width="14" customWidth="1"/>
    <col min="9" max="11" width="10" customWidth="1"/>
    <col min="12" max="13" width="11" customWidth="1"/>
    <col min="14" max="14" width="10" customWidth="1"/>
    <col min="15" max="15" width="11" customWidth="1"/>
    <col min="16" max="16" width="14" customWidth="1"/>
    <col min="17" max="17" width="12" customWidth="1"/>
    <col min="18" max="18" width="11" customWidth="1"/>
    <col min="19" max="19" width="36" customWidth="1"/>
    <col min="20" max="20" width="11" customWidth="1"/>
    <col min="21" max="21" width="13" customWidth="1"/>
    <col min="22" max="22" width="16" customWidth="1"/>
  </cols>
  <sheetData>
    <row r="1" spans="1:28" ht="2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8" ht="18" customHeight="1">
      <c r="A2" s="15" t="s">
        <v>1</v>
      </c>
      <c r="B2" s="13">
        <f>COUNTA(A5:A1004)</f>
        <v>1</v>
      </c>
      <c r="C2" s="13"/>
      <c r="D2" s="13"/>
      <c r="E2" s="13"/>
      <c r="F2" s="16" t="s">
        <v>2</v>
      </c>
      <c r="G2" s="12">
        <f>COUNTIF(S5:S1004,"Yes")</f>
        <v>0</v>
      </c>
      <c r="H2" s="12"/>
      <c r="I2" s="12"/>
      <c r="J2" s="17" t="s">
        <v>3</v>
      </c>
      <c r="K2" s="11">
        <f>COUNTIF(U5:U1004,"Yes")</f>
        <v>0</v>
      </c>
      <c r="L2" s="11"/>
      <c r="M2" s="11"/>
      <c r="N2" s="18" t="s">
        <v>4</v>
      </c>
      <c r="O2" s="10">
        <f>COUNTIFS(R5:R1004,"&lt;&gt;No Risk",R5:R1004,"&lt;&gt;")</f>
        <v>1</v>
      </c>
      <c r="P2" s="10"/>
      <c r="Q2" s="10"/>
      <c r="R2" s="10"/>
      <c r="S2" s="19" t="s">
        <v>5</v>
      </c>
      <c r="T2" s="9" t="str">
        <f>IFERROR(TEXT(MIN(IF(U5:U1004="Yes",V5:V1004)),"DD/MM/YY"),"—")</f>
        <v>—</v>
      </c>
      <c r="U2" s="9"/>
      <c r="V2" s="9"/>
      <c r="W2" s="9"/>
      <c r="X2" s="20" t="s">
        <v>6</v>
      </c>
      <c r="Y2" s="8">
        <f>IFERROR(COUNTIF(S5:S1004,"No")/COUNTA(A5:A1004),"—")</f>
        <v>0</v>
      </c>
      <c r="Z2" s="8"/>
      <c r="AA2" s="8"/>
      <c r="AB2" s="8"/>
    </row>
    <row r="3" spans="1:28" ht="15.75" customHeight="1">
      <c r="A3" s="7" t="s">
        <v>7</v>
      </c>
      <c r="B3" s="7"/>
      <c r="C3" s="7"/>
      <c r="D3" s="7"/>
      <c r="E3" s="6" t="s">
        <v>8</v>
      </c>
      <c r="F3" s="6"/>
      <c r="G3" s="6"/>
      <c r="H3" s="6"/>
      <c r="I3" s="5" t="s">
        <v>9</v>
      </c>
      <c r="J3" s="5"/>
      <c r="K3" s="5"/>
      <c r="L3" s="5"/>
      <c r="M3" s="5"/>
      <c r="N3" s="5"/>
      <c r="O3" s="5"/>
      <c r="P3" s="4" t="s">
        <v>10</v>
      </c>
      <c r="Q3" s="4"/>
      <c r="R3" s="3" t="s">
        <v>11</v>
      </c>
      <c r="S3" s="3"/>
      <c r="T3" s="2" t="s">
        <v>12</v>
      </c>
      <c r="U3" s="2"/>
      <c r="V3" s="2"/>
    </row>
    <row r="4" spans="1:28" ht="54" customHeight="1">
      <c r="A4" s="21" t="s">
        <v>13</v>
      </c>
      <c r="B4" s="21" t="s">
        <v>14</v>
      </c>
      <c r="C4" s="21" t="s">
        <v>15</v>
      </c>
      <c r="D4" s="21" t="s">
        <v>16</v>
      </c>
      <c r="E4" s="22" t="s">
        <v>17</v>
      </c>
      <c r="F4" s="22" t="s">
        <v>18</v>
      </c>
      <c r="G4" s="22" t="s">
        <v>19</v>
      </c>
      <c r="H4" s="22" t="s">
        <v>20</v>
      </c>
      <c r="I4" s="23" t="s">
        <v>21</v>
      </c>
      <c r="J4" s="23" t="s">
        <v>22</v>
      </c>
      <c r="K4" s="23" t="s">
        <v>23</v>
      </c>
      <c r="L4" s="23" t="s">
        <v>24</v>
      </c>
      <c r="M4" s="23" t="s">
        <v>25</v>
      </c>
      <c r="N4" s="23" t="s">
        <v>26</v>
      </c>
      <c r="O4" s="23" t="s">
        <v>27</v>
      </c>
      <c r="P4" s="24" t="s">
        <v>28</v>
      </c>
      <c r="Q4" s="24" t="s">
        <v>29</v>
      </c>
      <c r="R4" s="25" t="s">
        <v>30</v>
      </c>
      <c r="S4" s="25" t="s">
        <v>31</v>
      </c>
      <c r="T4" s="26" t="s">
        <v>32</v>
      </c>
      <c r="U4" s="26" t="s">
        <v>33</v>
      </c>
      <c r="V4" s="26" t="s">
        <v>34</v>
      </c>
    </row>
    <row r="5" spans="1:28" ht="43.5" customHeight="1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  <c r="I5" s="27" t="s">
        <v>43</v>
      </c>
      <c r="J5" s="27" t="s">
        <v>44</v>
      </c>
      <c r="K5" s="27" t="s">
        <v>45</v>
      </c>
      <c r="L5" s="27" t="s">
        <v>46</v>
      </c>
      <c r="M5" s="27" t="s">
        <v>47</v>
      </c>
      <c r="N5" s="27" t="s">
        <v>48</v>
      </c>
      <c r="O5" s="27" t="s">
        <v>49</v>
      </c>
      <c r="P5" s="27" t="s">
        <v>50</v>
      </c>
      <c r="Q5" s="27" t="s">
        <v>51</v>
      </c>
      <c r="R5" s="27" t="s">
        <v>52</v>
      </c>
      <c r="S5" s="27" t="s">
        <v>53</v>
      </c>
      <c r="T5" s="27" t="s">
        <v>54</v>
      </c>
      <c r="U5" s="27" t="s">
        <v>55</v>
      </c>
      <c r="V5" s="27" t="s">
        <v>56</v>
      </c>
    </row>
    <row r="6" spans="1:28" ht="1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30"/>
      <c r="T6" s="28"/>
      <c r="U6" s="29"/>
      <c r="V6" s="28"/>
    </row>
    <row r="7" spans="1:28" ht="15" customHeight="1">
      <c r="A7" s="31"/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3"/>
      <c r="T7" s="31"/>
      <c r="U7" s="32"/>
      <c r="V7" s="31"/>
    </row>
    <row r="8" spans="1:28" ht="15" customHeight="1">
      <c r="A8" s="28"/>
      <c r="B8" s="29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30"/>
      <c r="T8" s="28"/>
      <c r="U8" s="29"/>
      <c r="V8" s="28"/>
    </row>
    <row r="9" spans="1:28" ht="15" customHeight="1">
      <c r="A9" s="31"/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3"/>
      <c r="T9" s="31"/>
      <c r="U9" s="32"/>
      <c r="V9" s="31"/>
    </row>
    <row r="10" spans="1:28" ht="15" customHeight="1">
      <c r="A10" s="28"/>
      <c r="B10" s="29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30"/>
      <c r="T10" s="28"/>
      <c r="U10" s="29"/>
      <c r="V10" s="28"/>
    </row>
    <row r="11" spans="1:28" ht="15" customHeight="1">
      <c r="A11" s="31"/>
      <c r="B11" s="32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  <c r="T11" s="31"/>
      <c r="U11" s="32"/>
      <c r="V11" s="31"/>
    </row>
    <row r="12" spans="1:28" ht="15" customHeight="1">
      <c r="A12" s="28"/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30"/>
      <c r="T12" s="28"/>
      <c r="U12" s="29"/>
      <c r="V12" s="28"/>
    </row>
    <row r="13" spans="1:28" ht="15" customHeight="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3"/>
      <c r="T13" s="31"/>
      <c r="U13" s="32"/>
      <c r="V13" s="31"/>
    </row>
    <row r="14" spans="1:28" ht="15" customHeight="1">
      <c r="A14" s="28"/>
      <c r="B14" s="29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30"/>
      <c r="T14" s="28"/>
      <c r="U14" s="29"/>
      <c r="V14" s="28"/>
    </row>
    <row r="15" spans="1:28" ht="15" customHeight="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3"/>
      <c r="T15" s="31"/>
      <c r="U15" s="32"/>
      <c r="V15" s="31"/>
    </row>
    <row r="16" spans="1:28" ht="15" customHeight="1">
      <c r="A16" s="28"/>
      <c r="B16" s="29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30"/>
      <c r="T16" s="28"/>
      <c r="U16" s="29"/>
      <c r="V16" s="28"/>
    </row>
    <row r="17" spans="1:22" ht="15" customHeight="1">
      <c r="A17" s="31"/>
      <c r="B17" s="3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3"/>
      <c r="T17" s="31"/>
      <c r="U17" s="32"/>
      <c r="V17" s="31"/>
    </row>
    <row r="18" spans="1:22" ht="15" customHeight="1">
      <c r="A18" s="28"/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30"/>
      <c r="T18" s="28"/>
      <c r="U18" s="29"/>
      <c r="V18" s="28"/>
    </row>
    <row r="19" spans="1:22" ht="15" customHeight="1">
      <c r="A19" s="31"/>
      <c r="B19" s="3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3"/>
      <c r="T19" s="31"/>
      <c r="U19" s="32"/>
      <c r="V19" s="31"/>
    </row>
    <row r="20" spans="1:22" ht="15" customHeight="1">
      <c r="A20" s="28"/>
      <c r="B20" s="29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30"/>
      <c r="T20" s="28"/>
      <c r="U20" s="29"/>
      <c r="V20" s="28"/>
    </row>
    <row r="21" spans="1:22" ht="15" customHeight="1">
      <c r="A21" s="31"/>
      <c r="B21" s="3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  <c r="T21" s="31"/>
      <c r="U21" s="32"/>
      <c r="V21" s="31"/>
    </row>
    <row r="22" spans="1:22" ht="15" customHeight="1">
      <c r="A22" s="28"/>
      <c r="B22" s="29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0"/>
      <c r="T22" s="28"/>
      <c r="U22" s="29"/>
      <c r="V22" s="28"/>
    </row>
    <row r="23" spans="1:22" ht="15" customHeight="1">
      <c r="A23" s="31"/>
      <c r="B23" s="3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3"/>
      <c r="T23" s="31"/>
      <c r="U23" s="32"/>
      <c r="V23" s="31"/>
    </row>
    <row r="24" spans="1:22" ht="15" customHeight="1">
      <c r="A24" s="28"/>
      <c r="B24" s="2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0"/>
      <c r="T24" s="28"/>
      <c r="U24" s="29"/>
      <c r="V24" s="28"/>
    </row>
    <row r="25" spans="1:22" ht="15" customHeight="1">
      <c r="A25" s="31"/>
      <c r="B25" s="3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3"/>
      <c r="T25" s="31"/>
      <c r="U25" s="32"/>
      <c r="V25" s="31"/>
    </row>
    <row r="26" spans="1:22" ht="15" customHeight="1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30"/>
      <c r="T26" s="28"/>
      <c r="U26" s="29"/>
      <c r="V26" s="28"/>
    </row>
    <row r="27" spans="1:22" ht="15" customHeight="1">
      <c r="A27" s="31"/>
      <c r="B27" s="3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3"/>
      <c r="T27" s="31"/>
      <c r="U27" s="32"/>
      <c r="V27" s="31"/>
    </row>
    <row r="28" spans="1:22" ht="15" customHeight="1">
      <c r="A28" s="28"/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0"/>
      <c r="T28" s="28"/>
      <c r="U28" s="29"/>
      <c r="V28" s="28"/>
    </row>
    <row r="29" spans="1:22" ht="15" customHeight="1">
      <c r="A29" s="31"/>
      <c r="B29" s="3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3"/>
      <c r="T29" s="31"/>
      <c r="U29" s="32"/>
      <c r="V29" s="31"/>
    </row>
    <row r="30" spans="1:22" ht="15" customHeight="1">
      <c r="A30" s="28"/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0"/>
      <c r="T30" s="28"/>
      <c r="U30" s="29"/>
      <c r="V30" s="28"/>
    </row>
    <row r="31" spans="1:22" ht="15" customHeight="1">
      <c r="A31" s="31"/>
      <c r="B31" s="3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3"/>
      <c r="T31" s="31"/>
      <c r="U31" s="32"/>
      <c r="V31" s="31"/>
    </row>
    <row r="32" spans="1:22" ht="15" customHeight="1">
      <c r="A32" s="28"/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30"/>
      <c r="T32" s="28"/>
      <c r="U32" s="29"/>
      <c r="V32" s="28"/>
    </row>
    <row r="33" spans="1:22" ht="15" customHeight="1">
      <c r="A33" s="31"/>
      <c r="B33" s="3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3"/>
      <c r="T33" s="31"/>
      <c r="U33" s="32"/>
      <c r="V33" s="31"/>
    </row>
    <row r="34" spans="1:22" ht="15" customHeight="1">
      <c r="A34" s="28"/>
      <c r="B34" s="29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30"/>
      <c r="T34" s="28"/>
      <c r="U34" s="29"/>
      <c r="V34" s="28"/>
    </row>
    <row r="35" spans="1:22" ht="15" customHeight="1">
      <c r="A35" s="31"/>
      <c r="B35" s="3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3"/>
      <c r="T35" s="31"/>
      <c r="U35" s="32"/>
      <c r="V35" s="31"/>
    </row>
    <row r="36" spans="1:22" ht="15" customHeight="1">
      <c r="A36" s="28"/>
      <c r="B36" s="29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30"/>
      <c r="T36" s="28"/>
      <c r="U36" s="29"/>
      <c r="V36" s="28"/>
    </row>
    <row r="37" spans="1:22" ht="15" customHeight="1">
      <c r="A37" s="31"/>
      <c r="B37" s="3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3"/>
      <c r="T37" s="31"/>
      <c r="U37" s="32"/>
      <c r="V37" s="31"/>
    </row>
    <row r="38" spans="1:22" ht="15" customHeight="1">
      <c r="A38" s="28"/>
      <c r="B38" s="2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30"/>
      <c r="T38" s="28"/>
      <c r="U38" s="29"/>
      <c r="V38" s="28"/>
    </row>
    <row r="39" spans="1:22" ht="15" customHeight="1">
      <c r="A39" s="31"/>
      <c r="B39" s="3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3"/>
      <c r="T39" s="31"/>
      <c r="U39" s="32"/>
      <c r="V39" s="31"/>
    </row>
    <row r="40" spans="1:22" ht="15" customHeight="1">
      <c r="A40" s="28"/>
      <c r="B40" s="29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0"/>
      <c r="T40" s="28"/>
      <c r="U40" s="29"/>
      <c r="V40" s="28"/>
    </row>
    <row r="41" spans="1:22" ht="15" customHeight="1">
      <c r="A41" s="31"/>
      <c r="B41" s="3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3"/>
      <c r="T41" s="31"/>
      <c r="U41" s="32"/>
      <c r="V41" s="31"/>
    </row>
    <row r="42" spans="1:22" ht="15" customHeight="1">
      <c r="A42" s="28"/>
      <c r="B42" s="2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30"/>
      <c r="T42" s="28"/>
      <c r="U42" s="29"/>
      <c r="V42" s="28"/>
    </row>
    <row r="43" spans="1:22" ht="15" customHeight="1">
      <c r="A43" s="31"/>
      <c r="B43" s="3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3"/>
      <c r="T43" s="31"/>
      <c r="U43" s="32"/>
      <c r="V43" s="31"/>
    </row>
    <row r="44" spans="1:22" ht="15" customHeight="1">
      <c r="A44" s="28"/>
      <c r="B44" s="29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30"/>
      <c r="T44" s="28"/>
      <c r="U44" s="29"/>
      <c r="V44" s="28"/>
    </row>
    <row r="45" spans="1:22" ht="15" customHeight="1">
      <c r="A45" s="31"/>
      <c r="B45" s="3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3"/>
      <c r="T45" s="31"/>
      <c r="U45" s="32"/>
      <c r="V45" s="31"/>
    </row>
    <row r="46" spans="1:22" ht="15" customHeight="1">
      <c r="A46" s="28"/>
      <c r="B46" s="29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30"/>
      <c r="T46" s="28"/>
      <c r="U46" s="29"/>
      <c r="V46" s="28"/>
    </row>
    <row r="47" spans="1:22" ht="15" customHeight="1">
      <c r="A47" s="31"/>
      <c r="B47" s="3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3"/>
      <c r="T47" s="31"/>
      <c r="U47" s="32"/>
      <c r="V47" s="31"/>
    </row>
    <row r="48" spans="1:22" ht="15" customHeight="1">
      <c r="A48" s="28"/>
      <c r="B48" s="2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30"/>
      <c r="T48" s="28"/>
      <c r="U48" s="29"/>
      <c r="V48" s="28"/>
    </row>
    <row r="49" spans="1:22" ht="15" customHeight="1">
      <c r="A49" s="31"/>
      <c r="B49" s="3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3"/>
      <c r="T49" s="31"/>
      <c r="U49" s="32"/>
      <c r="V49" s="31"/>
    </row>
    <row r="50" spans="1:22" ht="15" customHeight="1">
      <c r="A50" s="28"/>
      <c r="B50" s="29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30"/>
      <c r="T50" s="28"/>
      <c r="U50" s="29"/>
      <c r="V50" s="28"/>
    </row>
    <row r="51" spans="1:22" ht="15" customHeight="1">
      <c r="A51" s="31"/>
      <c r="B51" s="3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3"/>
      <c r="T51" s="31"/>
      <c r="U51" s="32"/>
      <c r="V51" s="31"/>
    </row>
    <row r="52" spans="1:22" ht="15" customHeight="1">
      <c r="A52" s="28"/>
      <c r="B52" s="29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0"/>
      <c r="T52" s="28"/>
      <c r="U52" s="29"/>
      <c r="V52" s="28"/>
    </row>
    <row r="53" spans="1:22" ht="15" customHeight="1">
      <c r="A53" s="31"/>
      <c r="B53" s="3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3"/>
      <c r="T53" s="31"/>
      <c r="U53" s="32"/>
      <c r="V53" s="31"/>
    </row>
    <row r="54" spans="1:22" ht="15" customHeight="1">
      <c r="A54" s="28"/>
      <c r="B54" s="29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30"/>
      <c r="T54" s="28"/>
      <c r="U54" s="29"/>
      <c r="V54" s="28"/>
    </row>
    <row r="55" spans="1:22" ht="15" customHeight="1">
      <c r="A55" s="31"/>
      <c r="B55" s="3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3"/>
      <c r="T55" s="31"/>
      <c r="U55" s="32"/>
      <c r="V55" s="31"/>
    </row>
    <row r="56" spans="1:22" ht="15" customHeight="1">
      <c r="A56" s="28"/>
      <c r="B56" s="29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30"/>
      <c r="T56" s="28"/>
      <c r="U56" s="29"/>
      <c r="V56" s="28"/>
    </row>
    <row r="57" spans="1:22" ht="15" customHeight="1">
      <c r="A57" s="31"/>
      <c r="B57" s="3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3"/>
      <c r="T57" s="31"/>
      <c r="U57" s="32"/>
      <c r="V57" s="31"/>
    </row>
    <row r="58" spans="1:22" ht="15" customHeight="1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30"/>
      <c r="T58" s="28"/>
      <c r="U58" s="29"/>
      <c r="V58" s="28"/>
    </row>
    <row r="59" spans="1:22" ht="15" customHeight="1">
      <c r="A59" s="31"/>
      <c r="B59" s="3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3"/>
      <c r="T59" s="31"/>
      <c r="U59" s="32"/>
      <c r="V59" s="31"/>
    </row>
    <row r="60" spans="1:22" ht="15" customHeight="1">
      <c r="A60" s="28"/>
      <c r="B60" s="2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30"/>
      <c r="T60" s="28"/>
      <c r="U60" s="29"/>
      <c r="V60" s="28"/>
    </row>
    <row r="61" spans="1:22" ht="15" customHeight="1">
      <c r="A61" s="31"/>
      <c r="B61" s="3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3"/>
      <c r="T61" s="31"/>
      <c r="U61" s="32"/>
      <c r="V61" s="31"/>
    </row>
    <row r="62" spans="1:22" ht="15" customHeight="1">
      <c r="A62" s="28"/>
      <c r="B62" s="29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30"/>
      <c r="T62" s="28"/>
      <c r="U62" s="29"/>
      <c r="V62" s="28"/>
    </row>
    <row r="63" spans="1:22" ht="15" customHeight="1">
      <c r="A63" s="31"/>
      <c r="B63" s="3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3"/>
      <c r="T63" s="31"/>
      <c r="U63" s="32"/>
      <c r="V63" s="31"/>
    </row>
    <row r="64" spans="1:22" ht="15" customHeight="1">
      <c r="A64" s="28"/>
      <c r="B64" s="2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30"/>
      <c r="T64" s="28"/>
      <c r="U64" s="29"/>
      <c r="V64" s="28"/>
    </row>
    <row r="65" spans="1:22" ht="15" customHeight="1">
      <c r="A65" s="31"/>
      <c r="B65" s="3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3"/>
      <c r="T65" s="31"/>
      <c r="U65" s="32"/>
      <c r="V65" s="31"/>
    </row>
    <row r="66" spans="1:22" ht="15" customHeight="1">
      <c r="A66" s="28"/>
      <c r="B66" s="2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30"/>
      <c r="T66" s="28"/>
      <c r="U66" s="29"/>
      <c r="V66" s="28"/>
    </row>
    <row r="67" spans="1:22" ht="15" customHeight="1">
      <c r="A67" s="31"/>
      <c r="B67" s="3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3"/>
      <c r="T67" s="31"/>
      <c r="U67" s="32"/>
      <c r="V67" s="31"/>
    </row>
    <row r="68" spans="1:22" ht="15" customHeight="1">
      <c r="A68" s="28"/>
      <c r="B68" s="29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30"/>
      <c r="T68" s="28"/>
      <c r="U68" s="29"/>
      <c r="V68" s="28"/>
    </row>
    <row r="69" spans="1:22" ht="15" customHeight="1">
      <c r="A69" s="31"/>
      <c r="B69" s="3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3"/>
      <c r="T69" s="31"/>
      <c r="U69" s="32"/>
      <c r="V69" s="31"/>
    </row>
    <row r="70" spans="1:22" ht="15" customHeight="1">
      <c r="A70" s="28"/>
      <c r="B70" s="2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30"/>
      <c r="T70" s="28"/>
      <c r="U70" s="29"/>
      <c r="V70" s="28"/>
    </row>
    <row r="71" spans="1:22" ht="15" customHeight="1">
      <c r="A71" s="31"/>
      <c r="B71" s="3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3"/>
      <c r="T71" s="31"/>
      <c r="U71" s="32"/>
      <c r="V71" s="31"/>
    </row>
    <row r="72" spans="1:22" ht="15" customHeight="1">
      <c r="A72" s="28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30"/>
      <c r="T72" s="28"/>
      <c r="U72" s="29"/>
      <c r="V72" s="28"/>
    </row>
    <row r="73" spans="1:22" ht="15" customHeight="1">
      <c r="A73" s="31"/>
      <c r="B73" s="3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3"/>
      <c r="T73" s="31"/>
      <c r="U73" s="32"/>
      <c r="V73" s="31"/>
    </row>
    <row r="74" spans="1:22" ht="15" customHeight="1">
      <c r="A74" s="28"/>
      <c r="B74" s="29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0"/>
      <c r="T74" s="28"/>
      <c r="U74" s="29"/>
      <c r="V74" s="28"/>
    </row>
    <row r="75" spans="1:22" ht="15" customHeight="1">
      <c r="A75" s="31"/>
      <c r="B75" s="3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3"/>
      <c r="T75" s="31"/>
      <c r="U75" s="32"/>
      <c r="V75" s="31"/>
    </row>
    <row r="76" spans="1:22" ht="15" customHeight="1">
      <c r="A76" s="28"/>
      <c r="B76" s="29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30"/>
      <c r="T76" s="28"/>
      <c r="U76" s="29"/>
      <c r="V76" s="28"/>
    </row>
    <row r="77" spans="1:22" ht="15" customHeight="1">
      <c r="A77" s="31"/>
      <c r="B77" s="3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3"/>
      <c r="T77" s="31"/>
      <c r="U77" s="32"/>
      <c r="V77" s="31"/>
    </row>
    <row r="78" spans="1:22" ht="15" customHeight="1">
      <c r="A78" s="28"/>
      <c r="B78" s="2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30"/>
      <c r="T78" s="28"/>
      <c r="U78" s="29"/>
      <c r="V78" s="28"/>
    </row>
    <row r="79" spans="1:22" ht="15" customHeight="1">
      <c r="A79" s="31"/>
      <c r="B79" s="3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3"/>
      <c r="T79" s="31"/>
      <c r="U79" s="32"/>
      <c r="V79" s="31"/>
    </row>
    <row r="80" spans="1:22" ht="15" customHeight="1">
      <c r="A80" s="28"/>
      <c r="B80" s="29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30"/>
      <c r="T80" s="28"/>
      <c r="U80" s="29"/>
      <c r="V80" s="28"/>
    </row>
    <row r="81" spans="1:22" ht="15" customHeight="1">
      <c r="A81" s="31"/>
      <c r="B81" s="3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3"/>
      <c r="T81" s="31"/>
      <c r="U81" s="32"/>
      <c r="V81" s="31"/>
    </row>
    <row r="82" spans="1:22" ht="15" customHeight="1">
      <c r="A82" s="28"/>
      <c r="B82" s="29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30"/>
      <c r="T82" s="28"/>
      <c r="U82" s="29"/>
      <c r="V82" s="28"/>
    </row>
    <row r="83" spans="1:22" ht="15" customHeight="1">
      <c r="A83" s="31"/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3"/>
      <c r="T83" s="31"/>
      <c r="U83" s="32"/>
      <c r="V83" s="31"/>
    </row>
    <row r="84" spans="1:22" ht="15" customHeight="1">
      <c r="A84" s="28"/>
      <c r="B84" s="2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30"/>
      <c r="T84" s="28"/>
      <c r="U84" s="29"/>
      <c r="V84" s="28"/>
    </row>
    <row r="85" spans="1:22" ht="15" customHeight="1">
      <c r="A85" s="31"/>
      <c r="B85" s="3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3"/>
      <c r="T85" s="31"/>
      <c r="U85" s="32"/>
      <c r="V85" s="31"/>
    </row>
    <row r="86" spans="1:22" ht="15" customHeight="1">
      <c r="A86" s="28"/>
      <c r="B86" s="2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30"/>
      <c r="T86" s="28"/>
      <c r="U86" s="29"/>
      <c r="V86" s="28"/>
    </row>
    <row r="87" spans="1:22" ht="15" customHeight="1">
      <c r="A87" s="31"/>
      <c r="B87" s="3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3"/>
      <c r="T87" s="31"/>
      <c r="U87" s="32"/>
      <c r="V87" s="31"/>
    </row>
    <row r="88" spans="1:22" ht="15" customHeight="1">
      <c r="A88" s="28"/>
      <c r="B88" s="2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30"/>
      <c r="T88" s="28"/>
      <c r="U88" s="29"/>
      <c r="V88" s="28"/>
    </row>
    <row r="89" spans="1:22" ht="15" customHeight="1">
      <c r="A89" s="31"/>
      <c r="B89" s="3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3"/>
      <c r="T89" s="31"/>
      <c r="U89" s="32"/>
      <c r="V89" s="31"/>
    </row>
    <row r="90" spans="1:22" ht="15" customHeight="1">
      <c r="A90" s="28"/>
      <c r="B90" s="2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30"/>
      <c r="T90" s="28"/>
      <c r="U90" s="29"/>
      <c r="V90" s="28"/>
    </row>
    <row r="91" spans="1:22" ht="15" customHeight="1">
      <c r="A91" s="31"/>
      <c r="B91" s="3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3"/>
      <c r="T91" s="31"/>
      <c r="U91" s="32"/>
      <c r="V91" s="31"/>
    </row>
    <row r="92" spans="1:22" ht="15" customHeight="1">
      <c r="A92" s="28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30"/>
      <c r="T92" s="28"/>
      <c r="U92" s="29"/>
      <c r="V92" s="28"/>
    </row>
    <row r="93" spans="1:22" ht="15" customHeight="1">
      <c r="A93" s="31"/>
      <c r="B93" s="3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3"/>
      <c r="T93" s="31"/>
      <c r="U93" s="32"/>
      <c r="V93" s="31"/>
    </row>
    <row r="94" spans="1:22" ht="15" customHeight="1">
      <c r="A94" s="28"/>
      <c r="B94" s="2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30"/>
      <c r="T94" s="28"/>
      <c r="U94" s="29"/>
      <c r="V94" s="28"/>
    </row>
    <row r="95" spans="1:22" ht="15" customHeight="1">
      <c r="A95" s="31"/>
      <c r="B95" s="3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3"/>
      <c r="T95" s="31"/>
      <c r="U95" s="32"/>
      <c r="V95" s="31"/>
    </row>
    <row r="96" spans="1:22" ht="15" customHeight="1">
      <c r="A96" s="28"/>
      <c r="B96" s="29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30"/>
      <c r="T96" s="28"/>
      <c r="U96" s="29"/>
      <c r="V96" s="28"/>
    </row>
    <row r="97" spans="1:22" ht="15" customHeight="1">
      <c r="A97" s="31"/>
      <c r="B97" s="3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3"/>
      <c r="T97" s="31"/>
      <c r="U97" s="32"/>
      <c r="V97" s="31"/>
    </row>
    <row r="98" spans="1:22" ht="15" customHeight="1">
      <c r="A98" s="28"/>
      <c r="B98" s="2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30"/>
      <c r="T98" s="28"/>
      <c r="U98" s="29"/>
      <c r="V98" s="28"/>
    </row>
    <row r="99" spans="1:22" ht="15" customHeight="1">
      <c r="A99" s="31"/>
      <c r="B99" s="3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3"/>
      <c r="T99" s="31"/>
      <c r="U99" s="32"/>
      <c r="V99" s="31"/>
    </row>
    <row r="100" spans="1:22" ht="15" customHeight="1">
      <c r="A100" s="28"/>
      <c r="B100" s="2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30"/>
      <c r="T100" s="28"/>
      <c r="U100" s="29"/>
      <c r="V100" s="28"/>
    </row>
    <row r="101" spans="1:22" ht="15" customHeight="1">
      <c r="A101" s="31"/>
      <c r="B101" s="3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3"/>
      <c r="T101" s="31"/>
      <c r="U101" s="32"/>
      <c r="V101" s="31"/>
    </row>
    <row r="102" spans="1:22" ht="15" customHeight="1">
      <c r="A102" s="28"/>
      <c r="B102" s="2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30"/>
      <c r="T102" s="28"/>
      <c r="U102" s="29"/>
      <c r="V102" s="28"/>
    </row>
    <row r="103" spans="1:22" ht="15" customHeight="1">
      <c r="A103" s="31"/>
      <c r="B103" s="3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3"/>
      <c r="T103" s="31"/>
      <c r="U103" s="32"/>
      <c r="V103" s="31"/>
    </row>
    <row r="104" spans="1:22" ht="15" customHeight="1">
      <c r="A104" s="28"/>
      <c r="B104" s="2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30"/>
      <c r="T104" s="28"/>
      <c r="U104" s="29"/>
      <c r="V104" s="28"/>
    </row>
    <row r="105" spans="1:22" ht="15" customHeight="1">
      <c r="A105" s="31"/>
      <c r="B105" s="3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3"/>
      <c r="T105" s="31"/>
      <c r="U105" s="32"/>
      <c r="V105" s="31"/>
    </row>
    <row r="106" spans="1:22" ht="15" customHeight="1">
      <c r="A106" s="28"/>
      <c r="B106" s="2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30"/>
      <c r="T106" s="28"/>
      <c r="U106" s="29"/>
      <c r="V106" s="28"/>
    </row>
    <row r="107" spans="1:22" ht="15" customHeight="1">
      <c r="A107" s="31"/>
      <c r="B107" s="3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3"/>
      <c r="T107" s="31"/>
      <c r="U107" s="32"/>
      <c r="V107" s="31"/>
    </row>
    <row r="108" spans="1:22" ht="15" customHeight="1">
      <c r="A108" s="28"/>
      <c r="B108" s="2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30"/>
      <c r="T108" s="28"/>
      <c r="U108" s="29"/>
      <c r="V108" s="28"/>
    </row>
    <row r="109" spans="1:22" ht="15" customHeight="1">
      <c r="A109" s="31"/>
      <c r="B109" s="3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3"/>
      <c r="T109" s="31"/>
      <c r="U109" s="32"/>
      <c r="V109" s="31"/>
    </row>
    <row r="110" spans="1:22" ht="15" customHeight="1">
      <c r="A110" s="28"/>
      <c r="B110" s="2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30"/>
      <c r="T110" s="28"/>
      <c r="U110" s="29"/>
      <c r="V110" s="28"/>
    </row>
    <row r="111" spans="1:22" ht="15" customHeight="1">
      <c r="A111" s="31"/>
      <c r="B111" s="3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3"/>
      <c r="T111" s="31"/>
      <c r="U111" s="32"/>
      <c r="V111" s="31"/>
    </row>
    <row r="112" spans="1:22" ht="15" customHeight="1">
      <c r="A112" s="28"/>
      <c r="B112" s="2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30"/>
      <c r="T112" s="28"/>
      <c r="U112" s="29"/>
      <c r="V112" s="28"/>
    </row>
    <row r="113" spans="1:22" ht="15" customHeight="1">
      <c r="A113" s="31"/>
      <c r="B113" s="3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3"/>
      <c r="T113" s="31"/>
      <c r="U113" s="32"/>
      <c r="V113" s="31"/>
    </row>
    <row r="114" spans="1:22" ht="15" customHeight="1">
      <c r="A114" s="28"/>
      <c r="B114" s="2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30"/>
      <c r="T114" s="28"/>
      <c r="U114" s="29"/>
      <c r="V114" s="28"/>
    </row>
    <row r="115" spans="1:22" ht="15" customHeight="1">
      <c r="A115" s="31"/>
      <c r="B115" s="3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3"/>
      <c r="T115" s="31"/>
      <c r="U115" s="32"/>
      <c r="V115" s="31"/>
    </row>
    <row r="116" spans="1:22" ht="15" customHeight="1">
      <c r="A116" s="28"/>
      <c r="B116" s="2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30"/>
      <c r="T116" s="28"/>
      <c r="U116" s="29"/>
      <c r="V116" s="28"/>
    </row>
    <row r="117" spans="1:22" ht="15" customHeight="1">
      <c r="A117" s="31"/>
      <c r="B117" s="3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3"/>
      <c r="T117" s="31"/>
      <c r="U117" s="32"/>
      <c r="V117" s="31"/>
    </row>
    <row r="118" spans="1:22" ht="15" customHeight="1">
      <c r="A118" s="28"/>
      <c r="B118" s="2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30"/>
      <c r="T118" s="28"/>
      <c r="U118" s="29"/>
      <c r="V118" s="28"/>
    </row>
    <row r="119" spans="1:22" ht="15" customHeight="1">
      <c r="A119" s="31"/>
      <c r="B119" s="3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3"/>
      <c r="T119" s="31"/>
      <c r="U119" s="32"/>
      <c r="V119" s="31"/>
    </row>
    <row r="120" spans="1:22" ht="15" customHeight="1">
      <c r="A120" s="28"/>
      <c r="B120" s="2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30"/>
      <c r="T120" s="28"/>
      <c r="U120" s="29"/>
      <c r="V120" s="28"/>
    </row>
    <row r="121" spans="1:22" ht="15" customHeight="1">
      <c r="A121" s="31"/>
      <c r="B121" s="3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3"/>
      <c r="T121" s="31"/>
      <c r="U121" s="32"/>
      <c r="V121" s="31"/>
    </row>
    <row r="122" spans="1:22" ht="15" customHeight="1">
      <c r="A122" s="28"/>
      <c r="B122" s="29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30"/>
      <c r="T122" s="28"/>
      <c r="U122" s="29"/>
      <c r="V122" s="28"/>
    </row>
    <row r="123" spans="1:22" ht="15" customHeight="1">
      <c r="A123" s="31"/>
      <c r="B123" s="3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3"/>
      <c r="T123" s="31"/>
      <c r="U123" s="32"/>
      <c r="V123" s="31"/>
    </row>
    <row r="124" spans="1:22" ht="15" customHeight="1">
      <c r="A124" s="28"/>
      <c r="B124" s="2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30"/>
      <c r="T124" s="28"/>
      <c r="U124" s="29"/>
      <c r="V124" s="28"/>
    </row>
    <row r="125" spans="1:22" ht="15" customHeight="1">
      <c r="A125" s="31"/>
      <c r="B125" s="3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3"/>
      <c r="T125" s="31"/>
      <c r="U125" s="32"/>
      <c r="V125" s="31"/>
    </row>
    <row r="126" spans="1:22" ht="15" customHeight="1">
      <c r="A126" s="28"/>
      <c r="B126" s="2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30"/>
      <c r="T126" s="28"/>
      <c r="U126" s="29"/>
      <c r="V126" s="28"/>
    </row>
    <row r="127" spans="1:22" ht="15" customHeight="1">
      <c r="A127" s="31"/>
      <c r="B127" s="3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3"/>
      <c r="T127" s="31"/>
      <c r="U127" s="32"/>
      <c r="V127" s="31"/>
    </row>
    <row r="128" spans="1:22" ht="15" customHeight="1">
      <c r="A128" s="28"/>
      <c r="B128" s="2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30"/>
      <c r="T128" s="28"/>
      <c r="U128" s="29"/>
      <c r="V128" s="28"/>
    </row>
    <row r="129" spans="1:22" ht="15" customHeight="1">
      <c r="A129" s="31"/>
      <c r="B129" s="3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3"/>
      <c r="T129" s="31"/>
      <c r="U129" s="32"/>
      <c r="V129" s="31"/>
    </row>
    <row r="130" spans="1:22" ht="15" customHeight="1">
      <c r="A130" s="28"/>
      <c r="B130" s="2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30"/>
      <c r="T130" s="28"/>
      <c r="U130" s="29"/>
      <c r="V130" s="28"/>
    </row>
    <row r="131" spans="1:22" ht="15" customHeight="1">
      <c r="A131" s="31"/>
      <c r="B131" s="3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3"/>
      <c r="T131" s="31"/>
      <c r="U131" s="32"/>
      <c r="V131" s="31"/>
    </row>
    <row r="132" spans="1:22" ht="15" customHeight="1">
      <c r="A132" s="28"/>
      <c r="B132" s="2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30"/>
      <c r="T132" s="28"/>
      <c r="U132" s="29"/>
      <c r="V132" s="28"/>
    </row>
    <row r="133" spans="1:22" ht="15" customHeight="1">
      <c r="A133" s="31"/>
      <c r="B133" s="3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3"/>
      <c r="T133" s="31"/>
      <c r="U133" s="32"/>
      <c r="V133" s="31"/>
    </row>
    <row r="134" spans="1:22" ht="15" customHeight="1">
      <c r="A134" s="28"/>
      <c r="B134" s="2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30"/>
      <c r="T134" s="28"/>
      <c r="U134" s="29"/>
      <c r="V134" s="28"/>
    </row>
    <row r="135" spans="1:22" ht="15" customHeight="1">
      <c r="A135" s="31"/>
      <c r="B135" s="3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3"/>
      <c r="T135" s="31"/>
      <c r="U135" s="32"/>
      <c r="V135" s="31"/>
    </row>
    <row r="136" spans="1:22" ht="15" customHeight="1">
      <c r="A136" s="28"/>
      <c r="B136" s="2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30"/>
      <c r="T136" s="28"/>
      <c r="U136" s="29"/>
      <c r="V136" s="28"/>
    </row>
    <row r="137" spans="1:22" ht="15" customHeight="1">
      <c r="A137" s="31"/>
      <c r="B137" s="3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3"/>
      <c r="T137" s="31"/>
      <c r="U137" s="32"/>
      <c r="V137" s="31"/>
    </row>
    <row r="138" spans="1:22" ht="15" customHeight="1">
      <c r="A138" s="28"/>
      <c r="B138" s="2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30"/>
      <c r="T138" s="28"/>
      <c r="U138" s="29"/>
      <c r="V138" s="28"/>
    </row>
    <row r="139" spans="1:22" ht="15" customHeight="1">
      <c r="A139" s="31"/>
      <c r="B139" s="3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3"/>
      <c r="T139" s="31"/>
      <c r="U139" s="32"/>
      <c r="V139" s="31"/>
    </row>
    <row r="140" spans="1:22" ht="15" customHeight="1">
      <c r="A140" s="28"/>
      <c r="B140" s="2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30"/>
      <c r="T140" s="28"/>
      <c r="U140" s="29"/>
      <c r="V140" s="28"/>
    </row>
    <row r="141" spans="1:22" ht="15" customHeight="1">
      <c r="A141" s="31"/>
      <c r="B141" s="3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3"/>
      <c r="T141" s="31"/>
      <c r="U141" s="32"/>
      <c r="V141" s="31"/>
    </row>
    <row r="142" spans="1:22" ht="15" customHeight="1">
      <c r="A142" s="28"/>
      <c r="B142" s="2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30"/>
      <c r="T142" s="28"/>
      <c r="U142" s="29"/>
      <c r="V142" s="28"/>
    </row>
    <row r="143" spans="1:22" ht="15" customHeight="1">
      <c r="A143" s="31"/>
      <c r="B143" s="3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3"/>
      <c r="T143" s="31"/>
      <c r="U143" s="32"/>
      <c r="V143" s="31"/>
    </row>
    <row r="144" spans="1:22" ht="15" customHeight="1">
      <c r="A144" s="28"/>
      <c r="B144" s="2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30"/>
      <c r="T144" s="28"/>
      <c r="U144" s="29"/>
      <c r="V144" s="28"/>
    </row>
    <row r="145" spans="1:22" ht="15" customHeight="1">
      <c r="A145" s="31"/>
      <c r="B145" s="3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3"/>
      <c r="T145" s="31"/>
      <c r="U145" s="32"/>
      <c r="V145" s="31"/>
    </row>
    <row r="146" spans="1:22" ht="15" customHeight="1">
      <c r="A146" s="28"/>
      <c r="B146" s="2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30"/>
      <c r="T146" s="28"/>
      <c r="U146" s="29"/>
      <c r="V146" s="28"/>
    </row>
    <row r="147" spans="1:22" ht="15" customHeight="1">
      <c r="A147" s="31"/>
      <c r="B147" s="3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3"/>
      <c r="T147" s="31"/>
      <c r="U147" s="32"/>
      <c r="V147" s="31"/>
    </row>
    <row r="148" spans="1:22" ht="15" customHeight="1">
      <c r="A148" s="28"/>
      <c r="B148" s="2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30"/>
      <c r="T148" s="28"/>
      <c r="U148" s="29"/>
      <c r="V148" s="28"/>
    </row>
    <row r="149" spans="1:22" ht="15" customHeight="1">
      <c r="A149" s="31"/>
      <c r="B149" s="3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3"/>
      <c r="T149" s="31"/>
      <c r="U149" s="32"/>
      <c r="V149" s="31"/>
    </row>
    <row r="150" spans="1:22" ht="15" customHeight="1">
      <c r="A150" s="28"/>
      <c r="B150" s="2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30"/>
      <c r="T150" s="28"/>
      <c r="U150" s="29"/>
      <c r="V150" s="28"/>
    </row>
    <row r="151" spans="1:22" ht="15" customHeight="1">
      <c r="A151" s="31"/>
      <c r="B151" s="3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3"/>
      <c r="T151" s="31"/>
      <c r="U151" s="32"/>
      <c r="V151" s="31"/>
    </row>
    <row r="152" spans="1:22" ht="15" customHeight="1">
      <c r="A152" s="28"/>
      <c r="B152" s="2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30"/>
      <c r="T152" s="28"/>
      <c r="U152" s="29"/>
      <c r="V152" s="28"/>
    </row>
    <row r="153" spans="1:22" ht="15" customHeight="1">
      <c r="A153" s="31"/>
      <c r="B153" s="3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3"/>
      <c r="T153" s="31"/>
      <c r="U153" s="32"/>
      <c r="V153" s="31"/>
    </row>
    <row r="154" spans="1:22" ht="15" customHeight="1">
      <c r="A154" s="28"/>
      <c r="B154" s="2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30"/>
      <c r="T154" s="28"/>
      <c r="U154" s="29"/>
      <c r="V154" s="28"/>
    </row>
    <row r="155" spans="1:22" ht="15" customHeight="1">
      <c r="A155" s="31"/>
      <c r="B155" s="3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3"/>
      <c r="T155" s="31"/>
      <c r="U155" s="32"/>
      <c r="V155" s="31"/>
    </row>
    <row r="156" spans="1:22" ht="15" customHeight="1">
      <c r="A156" s="28"/>
      <c r="B156" s="2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30"/>
      <c r="T156" s="28"/>
      <c r="U156" s="29"/>
      <c r="V156" s="28"/>
    </row>
    <row r="157" spans="1:22" ht="15" customHeight="1">
      <c r="A157" s="31"/>
      <c r="B157" s="3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3"/>
      <c r="T157" s="31"/>
      <c r="U157" s="32"/>
      <c r="V157" s="31"/>
    </row>
    <row r="158" spans="1:22" ht="15" customHeight="1">
      <c r="A158" s="28"/>
      <c r="B158" s="2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30"/>
      <c r="T158" s="28"/>
      <c r="U158" s="29"/>
      <c r="V158" s="28"/>
    </row>
    <row r="159" spans="1:22" ht="15" customHeight="1">
      <c r="A159" s="31"/>
      <c r="B159" s="3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3"/>
      <c r="T159" s="31"/>
      <c r="U159" s="32"/>
      <c r="V159" s="31"/>
    </row>
    <row r="160" spans="1:22" ht="15" customHeight="1">
      <c r="A160" s="28"/>
      <c r="B160" s="2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30"/>
      <c r="T160" s="28"/>
      <c r="U160" s="29"/>
      <c r="V160" s="28"/>
    </row>
    <row r="161" spans="1:22" ht="15" customHeight="1">
      <c r="A161" s="31"/>
      <c r="B161" s="3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3"/>
      <c r="T161" s="31"/>
      <c r="U161" s="32"/>
      <c r="V161" s="31"/>
    </row>
    <row r="162" spans="1:22" ht="15" customHeight="1">
      <c r="A162" s="28"/>
      <c r="B162" s="2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30"/>
      <c r="T162" s="28"/>
      <c r="U162" s="29"/>
      <c r="V162" s="28"/>
    </row>
    <row r="163" spans="1:22" ht="15" customHeight="1">
      <c r="A163" s="31"/>
      <c r="B163" s="3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3"/>
      <c r="T163" s="31"/>
      <c r="U163" s="32"/>
      <c r="V163" s="31"/>
    </row>
    <row r="164" spans="1:22" ht="15" customHeight="1">
      <c r="A164" s="28"/>
      <c r="B164" s="2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30"/>
      <c r="T164" s="28"/>
      <c r="U164" s="29"/>
      <c r="V164" s="28"/>
    </row>
    <row r="165" spans="1:22" ht="15" customHeight="1">
      <c r="A165" s="31"/>
      <c r="B165" s="3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3"/>
      <c r="T165" s="31"/>
      <c r="U165" s="32"/>
      <c r="V165" s="31"/>
    </row>
    <row r="166" spans="1:22" ht="15" customHeight="1">
      <c r="A166" s="28"/>
      <c r="B166" s="2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30"/>
      <c r="T166" s="28"/>
      <c r="U166" s="29"/>
      <c r="V166" s="28"/>
    </row>
    <row r="167" spans="1:22" ht="15" customHeight="1">
      <c r="A167" s="31"/>
      <c r="B167" s="3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3"/>
      <c r="T167" s="31"/>
      <c r="U167" s="32"/>
      <c r="V167" s="31"/>
    </row>
    <row r="168" spans="1:22" ht="15" customHeight="1">
      <c r="A168" s="28"/>
      <c r="B168" s="2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30"/>
      <c r="T168" s="28"/>
      <c r="U168" s="29"/>
      <c r="V168" s="28"/>
    </row>
    <row r="169" spans="1:22" ht="15" customHeight="1">
      <c r="A169" s="31"/>
      <c r="B169" s="3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3"/>
      <c r="T169" s="31"/>
      <c r="U169" s="32"/>
      <c r="V169" s="31"/>
    </row>
    <row r="170" spans="1:22" ht="15" customHeight="1">
      <c r="A170" s="28"/>
      <c r="B170" s="2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30"/>
      <c r="T170" s="28"/>
      <c r="U170" s="29"/>
      <c r="V170" s="28"/>
    </row>
    <row r="171" spans="1:22" ht="15" customHeight="1">
      <c r="A171" s="31"/>
      <c r="B171" s="3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3"/>
      <c r="T171" s="31"/>
      <c r="U171" s="32"/>
      <c r="V171" s="31"/>
    </row>
    <row r="172" spans="1:22" ht="15" customHeight="1">
      <c r="A172" s="28"/>
      <c r="B172" s="2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30"/>
      <c r="T172" s="28"/>
      <c r="U172" s="29"/>
      <c r="V172" s="28"/>
    </row>
    <row r="173" spans="1:22" ht="15" customHeight="1">
      <c r="A173" s="31"/>
      <c r="B173" s="3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3"/>
      <c r="T173" s="31"/>
      <c r="U173" s="32"/>
      <c r="V173" s="31"/>
    </row>
    <row r="174" spans="1:22" ht="15" customHeight="1">
      <c r="A174" s="28"/>
      <c r="B174" s="2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30"/>
      <c r="T174" s="28"/>
      <c r="U174" s="29"/>
      <c r="V174" s="28"/>
    </row>
    <row r="175" spans="1:22" ht="15" customHeight="1">
      <c r="A175" s="31"/>
      <c r="B175" s="3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3"/>
      <c r="T175" s="31"/>
      <c r="U175" s="32"/>
      <c r="V175" s="31"/>
    </row>
    <row r="176" spans="1:22" ht="15" customHeight="1">
      <c r="A176" s="28"/>
      <c r="B176" s="2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30"/>
      <c r="T176" s="28"/>
      <c r="U176" s="29"/>
      <c r="V176" s="28"/>
    </row>
    <row r="177" spans="1:22" ht="15" customHeight="1">
      <c r="A177" s="31"/>
      <c r="B177" s="3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3"/>
      <c r="T177" s="31"/>
      <c r="U177" s="32"/>
      <c r="V177" s="31"/>
    </row>
    <row r="178" spans="1:22" ht="15" customHeight="1">
      <c r="A178" s="28"/>
      <c r="B178" s="2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30"/>
      <c r="T178" s="28"/>
      <c r="U178" s="29"/>
      <c r="V178" s="28"/>
    </row>
    <row r="179" spans="1:22" ht="15" customHeight="1">
      <c r="A179" s="31"/>
      <c r="B179" s="3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3"/>
      <c r="T179" s="31"/>
      <c r="U179" s="32"/>
      <c r="V179" s="31"/>
    </row>
    <row r="180" spans="1:22" ht="15" customHeight="1">
      <c r="A180" s="28"/>
      <c r="B180" s="2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30"/>
      <c r="T180" s="28"/>
      <c r="U180" s="29"/>
      <c r="V180" s="28"/>
    </row>
    <row r="181" spans="1:22" ht="15" customHeight="1">
      <c r="A181" s="31"/>
      <c r="B181" s="3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3"/>
      <c r="T181" s="31"/>
      <c r="U181" s="32"/>
      <c r="V181" s="31"/>
    </row>
    <row r="182" spans="1:22" ht="15" customHeight="1">
      <c r="A182" s="28"/>
      <c r="B182" s="2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30"/>
      <c r="T182" s="28"/>
      <c r="U182" s="29"/>
      <c r="V182" s="28"/>
    </row>
    <row r="183" spans="1:22" ht="15" customHeight="1">
      <c r="A183" s="31"/>
      <c r="B183" s="3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3"/>
      <c r="T183" s="31"/>
      <c r="U183" s="32"/>
      <c r="V183" s="31"/>
    </row>
    <row r="184" spans="1:22" ht="15" customHeight="1">
      <c r="A184" s="28"/>
      <c r="B184" s="2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30"/>
      <c r="T184" s="28"/>
      <c r="U184" s="29"/>
      <c r="V184" s="28"/>
    </row>
    <row r="185" spans="1:22" ht="15" customHeight="1">
      <c r="A185" s="31"/>
      <c r="B185" s="3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3"/>
      <c r="T185" s="31"/>
      <c r="U185" s="32"/>
      <c r="V185" s="31"/>
    </row>
    <row r="186" spans="1:22" ht="15" customHeight="1">
      <c r="A186" s="28"/>
      <c r="B186" s="2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30"/>
      <c r="T186" s="28"/>
      <c r="U186" s="29"/>
      <c r="V186" s="28"/>
    </row>
    <row r="187" spans="1:22" ht="15" customHeight="1">
      <c r="A187" s="31"/>
      <c r="B187" s="3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3"/>
      <c r="T187" s="31"/>
      <c r="U187" s="32"/>
      <c r="V187" s="31"/>
    </row>
    <row r="188" spans="1:22" ht="15" customHeight="1">
      <c r="A188" s="28"/>
      <c r="B188" s="2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30"/>
      <c r="T188" s="28"/>
      <c r="U188" s="29"/>
      <c r="V188" s="28"/>
    </row>
    <row r="189" spans="1:22" ht="15" customHeight="1">
      <c r="A189" s="31"/>
      <c r="B189" s="3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3"/>
      <c r="T189" s="31"/>
      <c r="U189" s="32"/>
      <c r="V189" s="31"/>
    </row>
    <row r="190" spans="1:22" ht="15" customHeight="1">
      <c r="A190" s="28"/>
      <c r="B190" s="2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30"/>
      <c r="T190" s="28"/>
      <c r="U190" s="29"/>
      <c r="V190" s="28"/>
    </row>
    <row r="191" spans="1:22" ht="15" customHeight="1">
      <c r="A191" s="31"/>
      <c r="B191" s="3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3"/>
      <c r="T191" s="31"/>
      <c r="U191" s="32"/>
      <c r="V191" s="31"/>
    </row>
    <row r="192" spans="1:22" ht="15" customHeight="1">
      <c r="A192" s="28"/>
      <c r="B192" s="2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30"/>
      <c r="T192" s="28"/>
      <c r="U192" s="29"/>
      <c r="V192" s="28"/>
    </row>
    <row r="193" spans="1:22" ht="15" customHeight="1">
      <c r="A193" s="31"/>
      <c r="B193" s="3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3"/>
      <c r="T193" s="31"/>
      <c r="U193" s="32"/>
      <c r="V193" s="31"/>
    </row>
    <row r="194" spans="1:22" ht="15" customHeight="1">
      <c r="A194" s="28"/>
      <c r="B194" s="2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30"/>
      <c r="T194" s="28"/>
      <c r="U194" s="29"/>
      <c r="V194" s="28"/>
    </row>
    <row r="195" spans="1:22" ht="15" customHeight="1">
      <c r="A195" s="31"/>
      <c r="B195" s="3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3"/>
      <c r="T195" s="31"/>
      <c r="U195" s="32"/>
      <c r="V195" s="31"/>
    </row>
    <row r="196" spans="1:22" ht="15" customHeight="1">
      <c r="A196" s="28"/>
      <c r="B196" s="2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30"/>
      <c r="T196" s="28"/>
      <c r="U196" s="29"/>
      <c r="V196" s="28"/>
    </row>
    <row r="197" spans="1:22" ht="15" customHeight="1">
      <c r="A197" s="31"/>
      <c r="B197" s="3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3"/>
      <c r="T197" s="31"/>
      <c r="U197" s="32"/>
      <c r="V197" s="31"/>
    </row>
    <row r="198" spans="1:22" ht="15" customHeight="1">
      <c r="A198" s="28"/>
      <c r="B198" s="2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30"/>
      <c r="T198" s="28"/>
      <c r="U198" s="29"/>
      <c r="V198" s="28"/>
    </row>
    <row r="199" spans="1:22" ht="15" customHeight="1">
      <c r="A199" s="31"/>
      <c r="B199" s="3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3"/>
      <c r="T199" s="31"/>
      <c r="U199" s="32"/>
      <c r="V199" s="31"/>
    </row>
    <row r="200" spans="1:22" ht="15" customHeight="1">
      <c r="A200" s="28"/>
      <c r="B200" s="2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30"/>
      <c r="T200" s="28"/>
      <c r="U200" s="29"/>
      <c r="V200" s="28"/>
    </row>
    <row r="201" spans="1:22" ht="15" customHeight="1">
      <c r="A201" s="31"/>
      <c r="B201" s="3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3"/>
      <c r="T201" s="31"/>
      <c r="U201" s="32"/>
      <c r="V201" s="31"/>
    </row>
    <row r="202" spans="1:22" ht="15" customHeight="1">
      <c r="A202" s="28"/>
      <c r="B202" s="2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30"/>
      <c r="T202" s="28"/>
      <c r="U202" s="29"/>
      <c r="V202" s="28"/>
    </row>
    <row r="203" spans="1:22" ht="15" customHeight="1">
      <c r="A203" s="31"/>
      <c r="B203" s="3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3"/>
      <c r="T203" s="31"/>
      <c r="U203" s="32"/>
      <c r="V203" s="31"/>
    </row>
    <row r="204" spans="1:22" ht="15" customHeight="1">
      <c r="A204" s="28"/>
      <c r="B204" s="2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30"/>
      <c r="T204" s="28"/>
      <c r="U204" s="29"/>
      <c r="V204" s="28"/>
    </row>
    <row r="205" spans="1:22" ht="15" customHeight="1">
      <c r="A205" s="31"/>
      <c r="B205" s="3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3"/>
      <c r="T205" s="31"/>
      <c r="U205" s="32"/>
      <c r="V205" s="31"/>
    </row>
    <row r="206" spans="1:22" ht="15" customHeight="1">
      <c r="A206" s="28"/>
      <c r="B206" s="2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30"/>
      <c r="T206" s="28"/>
      <c r="U206" s="29"/>
      <c r="V206" s="28"/>
    </row>
    <row r="207" spans="1:22" ht="15" customHeight="1">
      <c r="A207" s="31"/>
      <c r="B207" s="3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3"/>
      <c r="T207" s="31"/>
      <c r="U207" s="32"/>
      <c r="V207" s="31"/>
    </row>
    <row r="208" spans="1:22" ht="15" customHeight="1">
      <c r="A208" s="28"/>
      <c r="B208" s="2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30"/>
      <c r="T208" s="28"/>
      <c r="U208" s="29"/>
      <c r="V208" s="28"/>
    </row>
    <row r="209" spans="1:22" ht="15" customHeight="1">
      <c r="A209" s="31"/>
      <c r="B209" s="3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3"/>
      <c r="T209" s="31"/>
      <c r="U209" s="32"/>
      <c r="V209" s="31"/>
    </row>
    <row r="210" spans="1:22" ht="1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30"/>
      <c r="T210" s="28"/>
      <c r="U210" s="29"/>
      <c r="V210" s="28"/>
    </row>
    <row r="211" spans="1:22" ht="15" customHeight="1">
      <c r="A211" s="31"/>
      <c r="B211" s="3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3"/>
      <c r="T211" s="31"/>
      <c r="U211" s="32"/>
      <c r="V211" s="31"/>
    </row>
    <row r="212" spans="1:22" ht="1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30"/>
      <c r="T212" s="28"/>
      <c r="U212" s="29"/>
      <c r="V212" s="28"/>
    </row>
    <row r="213" spans="1:22" ht="15" customHeight="1">
      <c r="A213" s="31"/>
      <c r="B213" s="3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3"/>
      <c r="T213" s="31"/>
      <c r="U213" s="32"/>
      <c r="V213" s="31"/>
    </row>
    <row r="214" spans="1:22" ht="1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30"/>
      <c r="T214" s="28"/>
      <c r="U214" s="29"/>
      <c r="V214" s="28"/>
    </row>
    <row r="215" spans="1:22" ht="15" customHeight="1">
      <c r="A215" s="31"/>
      <c r="B215" s="3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3"/>
      <c r="T215" s="31"/>
      <c r="U215" s="32"/>
      <c r="V215" s="31"/>
    </row>
    <row r="216" spans="1:22" ht="1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30"/>
      <c r="T216" s="28"/>
      <c r="U216" s="29"/>
      <c r="V216" s="28"/>
    </row>
    <row r="217" spans="1:22" ht="15" customHeight="1">
      <c r="A217" s="31"/>
      <c r="B217" s="3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3"/>
      <c r="T217" s="31"/>
      <c r="U217" s="32"/>
      <c r="V217" s="31"/>
    </row>
    <row r="218" spans="1:22" ht="1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30"/>
      <c r="T218" s="28"/>
      <c r="U218" s="29"/>
      <c r="V218" s="28"/>
    </row>
    <row r="219" spans="1:22" ht="15" customHeight="1">
      <c r="A219" s="31"/>
      <c r="B219" s="3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3"/>
      <c r="T219" s="31"/>
      <c r="U219" s="32"/>
      <c r="V219" s="31"/>
    </row>
    <row r="220" spans="1:22" ht="1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30"/>
      <c r="T220" s="28"/>
      <c r="U220" s="29"/>
      <c r="V220" s="28"/>
    </row>
    <row r="221" spans="1:22" ht="15" customHeight="1">
      <c r="A221" s="31"/>
      <c r="B221" s="3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3"/>
      <c r="T221" s="31"/>
      <c r="U221" s="32"/>
      <c r="V221" s="31"/>
    </row>
    <row r="222" spans="1:22" ht="1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30"/>
      <c r="T222" s="28"/>
      <c r="U222" s="29"/>
      <c r="V222" s="28"/>
    </row>
    <row r="223" spans="1:22" ht="15" customHeight="1">
      <c r="A223" s="31"/>
      <c r="B223" s="3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3"/>
      <c r="T223" s="31"/>
      <c r="U223" s="32"/>
      <c r="V223" s="31"/>
    </row>
    <row r="224" spans="1:22" ht="1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30"/>
      <c r="T224" s="28"/>
      <c r="U224" s="29"/>
      <c r="V224" s="28"/>
    </row>
    <row r="225" spans="1:22" ht="15" customHeight="1">
      <c r="A225" s="31"/>
      <c r="B225" s="3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3"/>
      <c r="T225" s="31"/>
      <c r="U225" s="32"/>
      <c r="V225" s="31"/>
    </row>
    <row r="226" spans="1:22" ht="1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30"/>
      <c r="T226" s="28"/>
      <c r="U226" s="29"/>
      <c r="V226" s="28"/>
    </row>
    <row r="227" spans="1:22" ht="15" customHeight="1">
      <c r="A227" s="31"/>
      <c r="B227" s="3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3"/>
      <c r="T227" s="31"/>
      <c r="U227" s="32"/>
      <c r="V227" s="31"/>
    </row>
    <row r="228" spans="1:22" ht="1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30"/>
      <c r="T228" s="28"/>
      <c r="U228" s="29"/>
      <c r="V228" s="28"/>
    </row>
    <row r="229" spans="1:22" ht="15" customHeight="1">
      <c r="A229" s="31"/>
      <c r="B229" s="3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3"/>
      <c r="T229" s="31"/>
      <c r="U229" s="32"/>
      <c r="V229" s="31"/>
    </row>
    <row r="230" spans="1:22" ht="1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30"/>
      <c r="T230" s="28"/>
      <c r="U230" s="29"/>
      <c r="V230" s="28"/>
    </row>
    <row r="231" spans="1:22" ht="15" customHeight="1">
      <c r="A231" s="31"/>
      <c r="B231" s="3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3"/>
      <c r="T231" s="31"/>
      <c r="U231" s="32"/>
      <c r="V231" s="31"/>
    </row>
    <row r="232" spans="1:22" ht="1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30"/>
      <c r="T232" s="28"/>
      <c r="U232" s="29"/>
      <c r="V232" s="28"/>
    </row>
    <row r="233" spans="1:22" ht="15" customHeight="1">
      <c r="A233" s="31"/>
      <c r="B233" s="3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3"/>
      <c r="T233" s="31"/>
      <c r="U233" s="32"/>
      <c r="V233" s="31"/>
    </row>
    <row r="234" spans="1:22" ht="1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30"/>
      <c r="T234" s="28"/>
      <c r="U234" s="29"/>
      <c r="V234" s="28"/>
    </row>
    <row r="235" spans="1:22" ht="15" customHeight="1">
      <c r="A235" s="31"/>
      <c r="B235" s="3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3"/>
      <c r="T235" s="31"/>
      <c r="U235" s="32"/>
      <c r="V235" s="31"/>
    </row>
    <row r="236" spans="1:22" ht="1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30"/>
      <c r="T236" s="28"/>
      <c r="U236" s="29"/>
      <c r="V236" s="28"/>
    </row>
    <row r="237" spans="1:22" ht="15" customHeight="1">
      <c r="A237" s="31"/>
      <c r="B237" s="3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3"/>
      <c r="T237" s="31"/>
      <c r="U237" s="32"/>
      <c r="V237" s="31"/>
    </row>
    <row r="238" spans="1:22" ht="1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30"/>
      <c r="T238" s="28"/>
      <c r="U238" s="29"/>
      <c r="V238" s="28"/>
    </row>
    <row r="239" spans="1:22" ht="15" customHeight="1">
      <c r="A239" s="31"/>
      <c r="B239" s="3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3"/>
      <c r="T239" s="31"/>
      <c r="U239" s="32"/>
      <c r="V239" s="31"/>
    </row>
    <row r="240" spans="1:22" ht="1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30"/>
      <c r="T240" s="28"/>
      <c r="U240" s="29"/>
      <c r="V240" s="28"/>
    </row>
    <row r="241" spans="1:22" ht="15" customHeight="1">
      <c r="A241" s="31"/>
      <c r="B241" s="3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3"/>
      <c r="T241" s="31"/>
      <c r="U241" s="32"/>
      <c r="V241" s="31"/>
    </row>
    <row r="242" spans="1:22" ht="1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30"/>
      <c r="T242" s="28"/>
      <c r="U242" s="29"/>
      <c r="V242" s="28"/>
    </row>
    <row r="243" spans="1:22" ht="15" customHeight="1">
      <c r="A243" s="31"/>
      <c r="B243" s="3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3"/>
      <c r="T243" s="31"/>
      <c r="U243" s="32"/>
      <c r="V243" s="31"/>
    </row>
    <row r="244" spans="1:22" ht="1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30"/>
      <c r="T244" s="28"/>
      <c r="U244" s="29"/>
      <c r="V244" s="28"/>
    </row>
    <row r="245" spans="1:22" ht="15" customHeight="1">
      <c r="A245" s="31"/>
      <c r="B245" s="3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3"/>
      <c r="T245" s="31"/>
      <c r="U245" s="32"/>
      <c r="V245" s="31"/>
    </row>
    <row r="246" spans="1:22" ht="1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30"/>
      <c r="T246" s="28"/>
      <c r="U246" s="29"/>
      <c r="V246" s="28"/>
    </row>
    <row r="247" spans="1:22" ht="15" customHeight="1">
      <c r="A247" s="31"/>
      <c r="B247" s="3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3"/>
      <c r="T247" s="31"/>
      <c r="U247" s="32"/>
      <c r="V247" s="31"/>
    </row>
    <row r="248" spans="1:22" ht="1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30"/>
      <c r="T248" s="28"/>
      <c r="U248" s="29"/>
      <c r="V248" s="28"/>
    </row>
    <row r="249" spans="1:22" ht="15" customHeight="1">
      <c r="A249" s="31"/>
      <c r="B249" s="3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3"/>
      <c r="T249" s="31"/>
      <c r="U249" s="32"/>
      <c r="V249" s="31"/>
    </row>
    <row r="250" spans="1:22" ht="1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30"/>
      <c r="T250" s="28"/>
      <c r="U250" s="29"/>
      <c r="V250" s="28"/>
    </row>
    <row r="251" spans="1:22" ht="15" customHeight="1">
      <c r="A251" s="31"/>
      <c r="B251" s="3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3"/>
      <c r="T251" s="31"/>
      <c r="U251" s="32"/>
      <c r="V251" s="31"/>
    </row>
    <row r="252" spans="1:22" ht="1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30"/>
      <c r="T252" s="28"/>
      <c r="U252" s="29"/>
      <c r="V252" s="28"/>
    </row>
    <row r="253" spans="1:22" ht="15" customHeight="1">
      <c r="A253" s="31"/>
      <c r="B253" s="3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3"/>
      <c r="T253" s="31"/>
      <c r="U253" s="32"/>
      <c r="V253" s="31"/>
    </row>
    <row r="254" spans="1:22" ht="1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30"/>
      <c r="T254" s="28"/>
      <c r="U254" s="29"/>
      <c r="V254" s="28"/>
    </row>
    <row r="255" spans="1:22" ht="15" customHeight="1">
      <c r="A255" s="31"/>
      <c r="B255" s="3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3"/>
      <c r="T255" s="31"/>
      <c r="U255" s="32"/>
      <c r="V255" s="31"/>
    </row>
    <row r="256" spans="1:22" ht="1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30"/>
      <c r="T256" s="28"/>
      <c r="U256" s="29"/>
      <c r="V256" s="28"/>
    </row>
    <row r="257" spans="1:22" ht="15" customHeight="1">
      <c r="A257" s="31"/>
      <c r="B257" s="3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3"/>
      <c r="T257" s="31"/>
      <c r="U257" s="32"/>
      <c r="V257" s="31"/>
    </row>
    <row r="258" spans="1:22" ht="1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30"/>
      <c r="T258" s="28"/>
      <c r="U258" s="29"/>
      <c r="V258" s="28"/>
    </row>
    <row r="259" spans="1:22" ht="15" customHeight="1">
      <c r="A259" s="31"/>
      <c r="B259" s="3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3"/>
      <c r="T259" s="31"/>
      <c r="U259" s="32"/>
      <c r="V259" s="31"/>
    </row>
    <row r="260" spans="1:22" ht="1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30"/>
      <c r="T260" s="28"/>
      <c r="U260" s="29"/>
      <c r="V260" s="28"/>
    </row>
    <row r="261" spans="1:22" ht="15" customHeight="1">
      <c r="A261" s="31"/>
      <c r="B261" s="3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3"/>
      <c r="T261" s="31"/>
      <c r="U261" s="32"/>
      <c r="V261" s="31"/>
    </row>
    <row r="262" spans="1:22" ht="1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30"/>
      <c r="T262" s="28"/>
      <c r="U262" s="29"/>
      <c r="V262" s="28"/>
    </row>
    <row r="263" spans="1:22" ht="15" customHeight="1">
      <c r="A263" s="31"/>
      <c r="B263" s="3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3"/>
      <c r="T263" s="31"/>
      <c r="U263" s="32"/>
      <c r="V263" s="31"/>
    </row>
    <row r="264" spans="1:22" ht="1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30"/>
      <c r="T264" s="28"/>
      <c r="U264" s="29"/>
      <c r="V264" s="28"/>
    </row>
    <row r="265" spans="1:22" ht="15" customHeight="1">
      <c r="A265" s="31"/>
      <c r="B265" s="3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3"/>
      <c r="T265" s="31"/>
      <c r="U265" s="32"/>
      <c r="V265" s="31"/>
    </row>
    <row r="266" spans="1:22" ht="1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30"/>
      <c r="T266" s="28"/>
      <c r="U266" s="29"/>
      <c r="V266" s="28"/>
    </row>
    <row r="267" spans="1:22" ht="15" customHeight="1">
      <c r="A267" s="31"/>
      <c r="B267" s="3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3"/>
      <c r="T267" s="31"/>
      <c r="U267" s="32"/>
      <c r="V267" s="31"/>
    </row>
    <row r="268" spans="1:22" ht="1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30"/>
      <c r="T268" s="28"/>
      <c r="U268" s="29"/>
      <c r="V268" s="28"/>
    </row>
    <row r="269" spans="1:22" ht="15" customHeight="1">
      <c r="A269" s="31"/>
      <c r="B269" s="3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3"/>
      <c r="T269" s="31"/>
      <c r="U269" s="32"/>
      <c r="V269" s="31"/>
    </row>
    <row r="270" spans="1:22" ht="1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30"/>
      <c r="T270" s="28"/>
      <c r="U270" s="29"/>
      <c r="V270" s="28"/>
    </row>
    <row r="271" spans="1:22" ht="15" customHeight="1">
      <c r="A271" s="31"/>
      <c r="B271" s="3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3"/>
      <c r="T271" s="31"/>
      <c r="U271" s="32"/>
      <c r="V271" s="31"/>
    </row>
    <row r="272" spans="1:22" ht="1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30"/>
      <c r="T272" s="28"/>
      <c r="U272" s="29"/>
      <c r="V272" s="28"/>
    </row>
    <row r="273" spans="1:22" ht="15" customHeight="1">
      <c r="A273" s="31"/>
      <c r="B273" s="3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3"/>
      <c r="T273" s="31"/>
      <c r="U273" s="32"/>
      <c r="V273" s="31"/>
    </row>
    <row r="274" spans="1:22" ht="1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30"/>
      <c r="T274" s="28"/>
      <c r="U274" s="29"/>
      <c r="V274" s="28"/>
    </row>
    <row r="275" spans="1:22" ht="15" customHeight="1">
      <c r="A275" s="31"/>
      <c r="B275" s="3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3"/>
      <c r="T275" s="31"/>
      <c r="U275" s="32"/>
      <c r="V275" s="31"/>
    </row>
    <row r="276" spans="1:22" ht="1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30"/>
      <c r="T276" s="28"/>
      <c r="U276" s="29"/>
      <c r="V276" s="28"/>
    </row>
    <row r="277" spans="1:22" ht="15" customHeight="1">
      <c r="A277" s="31"/>
      <c r="B277" s="3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3"/>
      <c r="T277" s="31"/>
      <c r="U277" s="32"/>
      <c r="V277" s="31"/>
    </row>
    <row r="278" spans="1:22" ht="1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30"/>
      <c r="T278" s="28"/>
      <c r="U278" s="29"/>
      <c r="V278" s="28"/>
    </row>
    <row r="279" spans="1:22" ht="15" customHeight="1">
      <c r="A279" s="31"/>
      <c r="B279" s="3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3"/>
      <c r="T279" s="31"/>
      <c r="U279" s="32"/>
      <c r="V279" s="31"/>
    </row>
    <row r="280" spans="1:22" ht="1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30"/>
      <c r="T280" s="28"/>
      <c r="U280" s="29"/>
      <c r="V280" s="28"/>
    </row>
    <row r="281" spans="1:22" ht="15" customHeight="1">
      <c r="A281" s="31"/>
      <c r="B281" s="3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3"/>
      <c r="T281" s="31"/>
      <c r="U281" s="32"/>
      <c r="V281" s="31"/>
    </row>
    <row r="282" spans="1:22" ht="1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30"/>
      <c r="T282" s="28"/>
      <c r="U282" s="29"/>
      <c r="V282" s="28"/>
    </row>
    <row r="283" spans="1:22" ht="15" customHeight="1">
      <c r="A283" s="31"/>
      <c r="B283" s="3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3"/>
      <c r="T283" s="31"/>
      <c r="U283" s="32"/>
      <c r="V283" s="31"/>
    </row>
    <row r="284" spans="1:22" ht="1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30"/>
      <c r="T284" s="28"/>
      <c r="U284" s="29"/>
      <c r="V284" s="28"/>
    </row>
    <row r="285" spans="1:22" ht="15" customHeight="1">
      <c r="A285" s="31"/>
      <c r="B285" s="3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3"/>
      <c r="T285" s="31"/>
      <c r="U285" s="32"/>
      <c r="V285" s="31"/>
    </row>
    <row r="286" spans="1:22" ht="1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30"/>
      <c r="T286" s="28"/>
      <c r="U286" s="29"/>
      <c r="V286" s="28"/>
    </row>
    <row r="287" spans="1:22" ht="15" customHeight="1">
      <c r="A287" s="31"/>
      <c r="B287" s="3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3"/>
      <c r="T287" s="31"/>
      <c r="U287" s="32"/>
      <c r="V287" s="31"/>
    </row>
    <row r="288" spans="1:22" ht="1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30"/>
      <c r="T288" s="28"/>
      <c r="U288" s="29"/>
      <c r="V288" s="28"/>
    </row>
    <row r="289" spans="1:22" ht="15" customHeight="1">
      <c r="A289" s="31"/>
      <c r="B289" s="3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3"/>
      <c r="T289" s="31"/>
      <c r="U289" s="32"/>
      <c r="V289" s="31"/>
    </row>
    <row r="290" spans="1:22" ht="1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30"/>
      <c r="T290" s="28"/>
      <c r="U290" s="29"/>
      <c r="V290" s="28"/>
    </row>
    <row r="291" spans="1:22" ht="15" customHeight="1">
      <c r="A291" s="31"/>
      <c r="B291" s="3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3"/>
      <c r="T291" s="31"/>
      <c r="U291" s="32"/>
      <c r="V291" s="31"/>
    </row>
    <row r="292" spans="1:22" ht="1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30"/>
      <c r="T292" s="28"/>
      <c r="U292" s="29"/>
      <c r="V292" s="28"/>
    </row>
    <row r="293" spans="1:22" ht="15" customHeight="1">
      <c r="A293" s="31"/>
      <c r="B293" s="3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3"/>
      <c r="T293" s="31"/>
      <c r="U293" s="32"/>
      <c r="V293" s="31"/>
    </row>
    <row r="294" spans="1:22" ht="1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30"/>
      <c r="T294" s="28"/>
      <c r="U294" s="29"/>
      <c r="V294" s="28"/>
    </row>
    <row r="295" spans="1:22" ht="15" customHeight="1">
      <c r="A295" s="31"/>
      <c r="B295" s="3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3"/>
      <c r="T295" s="31"/>
      <c r="U295" s="32"/>
      <c r="V295" s="31"/>
    </row>
    <row r="296" spans="1:22" ht="1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30"/>
      <c r="T296" s="28"/>
      <c r="U296" s="29"/>
      <c r="V296" s="28"/>
    </row>
    <row r="297" spans="1:22" ht="15" customHeight="1">
      <c r="A297" s="31"/>
      <c r="B297" s="3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3"/>
      <c r="T297" s="31"/>
      <c r="U297" s="32"/>
      <c r="V297" s="31"/>
    </row>
    <row r="298" spans="1:22" ht="1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30"/>
      <c r="T298" s="28"/>
      <c r="U298" s="29"/>
      <c r="V298" s="28"/>
    </row>
    <row r="299" spans="1:22" ht="15" customHeight="1">
      <c r="A299" s="31"/>
      <c r="B299" s="3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3"/>
      <c r="T299" s="31"/>
      <c r="U299" s="32"/>
      <c r="V299" s="31"/>
    </row>
    <row r="300" spans="1:22" ht="1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30"/>
      <c r="T300" s="28"/>
      <c r="U300" s="29"/>
      <c r="V300" s="28"/>
    </row>
    <row r="301" spans="1:22" ht="15" customHeight="1">
      <c r="A301" s="31"/>
      <c r="B301" s="3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3"/>
      <c r="T301" s="31"/>
      <c r="U301" s="32"/>
      <c r="V301" s="31"/>
    </row>
    <row r="302" spans="1:22" ht="1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30"/>
      <c r="T302" s="28"/>
      <c r="U302" s="29"/>
      <c r="V302" s="28"/>
    </row>
    <row r="303" spans="1:22" ht="15" customHeight="1">
      <c r="A303" s="31"/>
      <c r="B303" s="3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3"/>
      <c r="T303" s="31"/>
      <c r="U303" s="32"/>
      <c r="V303" s="31"/>
    </row>
    <row r="304" spans="1:22" ht="1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30"/>
      <c r="T304" s="28"/>
      <c r="U304" s="29"/>
      <c r="V304" s="28"/>
    </row>
    <row r="305" spans="1:22" ht="15" customHeight="1">
      <c r="A305" s="31"/>
      <c r="B305" s="3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3"/>
      <c r="T305" s="31"/>
      <c r="U305" s="32"/>
      <c r="V305" s="31"/>
    </row>
    <row r="306" spans="1:22" ht="1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30"/>
      <c r="T306" s="28"/>
      <c r="U306" s="29"/>
      <c r="V306" s="28"/>
    </row>
    <row r="307" spans="1:22" ht="15" customHeight="1">
      <c r="A307" s="31"/>
      <c r="B307" s="3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3"/>
      <c r="T307" s="31"/>
      <c r="U307" s="32"/>
      <c r="V307" s="31"/>
    </row>
    <row r="308" spans="1:22" ht="1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30"/>
      <c r="T308" s="28"/>
      <c r="U308" s="29"/>
      <c r="V308" s="28"/>
    </row>
    <row r="309" spans="1:22" ht="15" customHeight="1">
      <c r="A309" s="31"/>
      <c r="B309" s="3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3"/>
      <c r="T309" s="31"/>
      <c r="U309" s="32"/>
      <c r="V309" s="31"/>
    </row>
    <row r="310" spans="1:22" ht="1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30"/>
      <c r="T310" s="28"/>
      <c r="U310" s="29"/>
      <c r="V310" s="28"/>
    </row>
    <row r="311" spans="1:22" ht="15" customHeight="1">
      <c r="A311" s="31"/>
      <c r="B311" s="3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3"/>
      <c r="T311" s="31"/>
      <c r="U311" s="32"/>
      <c r="V311" s="31"/>
    </row>
    <row r="312" spans="1:22" ht="1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30"/>
      <c r="T312" s="28"/>
      <c r="U312" s="29"/>
      <c r="V312" s="28"/>
    </row>
    <row r="313" spans="1:22" ht="15" customHeight="1">
      <c r="A313" s="31"/>
      <c r="B313" s="3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3"/>
      <c r="T313" s="31"/>
      <c r="U313" s="32"/>
      <c r="V313" s="31"/>
    </row>
    <row r="314" spans="1:22" ht="1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30"/>
      <c r="T314" s="28"/>
      <c r="U314" s="29"/>
      <c r="V314" s="28"/>
    </row>
    <row r="315" spans="1:22" ht="15" customHeight="1">
      <c r="A315" s="31"/>
      <c r="B315" s="3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3"/>
      <c r="T315" s="31"/>
      <c r="U315" s="32"/>
      <c r="V315" s="31"/>
    </row>
    <row r="316" spans="1:22" ht="1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30"/>
      <c r="T316" s="28"/>
      <c r="U316" s="29"/>
      <c r="V316" s="28"/>
    </row>
    <row r="317" spans="1:22" ht="15" customHeight="1">
      <c r="A317" s="31"/>
      <c r="B317" s="3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3"/>
      <c r="T317" s="31"/>
      <c r="U317" s="32"/>
      <c r="V317" s="31"/>
    </row>
    <row r="318" spans="1:22" ht="1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30"/>
      <c r="T318" s="28"/>
      <c r="U318" s="29"/>
      <c r="V318" s="28"/>
    </row>
    <row r="319" spans="1:22" ht="15" customHeight="1">
      <c r="A319" s="31"/>
      <c r="B319" s="3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3"/>
      <c r="T319" s="31"/>
      <c r="U319" s="32"/>
      <c r="V319" s="31"/>
    </row>
    <row r="320" spans="1:22" ht="1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30"/>
      <c r="T320" s="28"/>
      <c r="U320" s="29"/>
      <c r="V320" s="28"/>
    </row>
    <row r="321" spans="1:22" ht="15" customHeight="1">
      <c r="A321" s="31"/>
      <c r="B321" s="3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3"/>
      <c r="T321" s="31"/>
      <c r="U321" s="32"/>
      <c r="V321" s="31"/>
    </row>
    <row r="322" spans="1:22" ht="1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30"/>
      <c r="T322" s="28"/>
      <c r="U322" s="29"/>
      <c r="V322" s="28"/>
    </row>
    <row r="323" spans="1:22" ht="15" customHeight="1">
      <c r="A323" s="31"/>
      <c r="B323" s="3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3"/>
      <c r="T323" s="31"/>
      <c r="U323" s="32"/>
      <c r="V323" s="31"/>
    </row>
    <row r="324" spans="1:22" ht="1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30"/>
      <c r="T324" s="28"/>
      <c r="U324" s="29"/>
      <c r="V324" s="28"/>
    </row>
    <row r="325" spans="1:22" ht="15" customHeight="1">
      <c r="A325" s="31"/>
      <c r="B325" s="3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3"/>
      <c r="T325" s="31"/>
      <c r="U325" s="32"/>
      <c r="V325" s="31"/>
    </row>
    <row r="326" spans="1:22" ht="1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30"/>
      <c r="T326" s="28"/>
      <c r="U326" s="29"/>
      <c r="V326" s="28"/>
    </row>
    <row r="327" spans="1:22" ht="15" customHeight="1">
      <c r="A327" s="31"/>
      <c r="B327" s="3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3"/>
      <c r="T327" s="31"/>
      <c r="U327" s="32"/>
      <c r="V327" s="31"/>
    </row>
    <row r="328" spans="1:22" ht="1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30"/>
      <c r="T328" s="28"/>
      <c r="U328" s="29"/>
      <c r="V328" s="28"/>
    </row>
    <row r="329" spans="1:22" ht="15" customHeight="1">
      <c r="A329" s="31"/>
      <c r="B329" s="3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3"/>
      <c r="T329" s="31"/>
      <c r="U329" s="32"/>
      <c r="V329" s="31"/>
    </row>
    <row r="330" spans="1:22" ht="1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30"/>
      <c r="T330" s="28"/>
      <c r="U330" s="29"/>
      <c r="V330" s="28"/>
    </row>
    <row r="331" spans="1:22" ht="15" customHeight="1">
      <c r="A331" s="31"/>
      <c r="B331" s="3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3"/>
      <c r="T331" s="31"/>
      <c r="U331" s="32"/>
      <c r="V331" s="31"/>
    </row>
    <row r="332" spans="1:22" ht="1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30"/>
      <c r="T332" s="28"/>
      <c r="U332" s="29"/>
      <c r="V332" s="28"/>
    </row>
    <row r="333" spans="1:22" ht="15" customHeight="1">
      <c r="A333" s="31"/>
      <c r="B333" s="3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3"/>
      <c r="T333" s="31"/>
      <c r="U333" s="32"/>
      <c r="V333" s="31"/>
    </row>
    <row r="334" spans="1:22" ht="1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30"/>
      <c r="T334" s="28"/>
      <c r="U334" s="29"/>
      <c r="V334" s="28"/>
    </row>
    <row r="335" spans="1:22" ht="15" customHeight="1">
      <c r="A335" s="31"/>
      <c r="B335" s="3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3"/>
      <c r="T335" s="31"/>
      <c r="U335" s="32"/>
      <c r="V335" s="31"/>
    </row>
    <row r="336" spans="1:22" ht="1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30"/>
      <c r="T336" s="28"/>
      <c r="U336" s="29"/>
      <c r="V336" s="28"/>
    </row>
    <row r="337" spans="1:22" ht="15" customHeight="1">
      <c r="A337" s="31"/>
      <c r="B337" s="3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3"/>
      <c r="T337" s="31"/>
      <c r="U337" s="32"/>
      <c r="V337" s="31"/>
    </row>
    <row r="338" spans="1:22" ht="1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30"/>
      <c r="T338" s="28"/>
      <c r="U338" s="29"/>
      <c r="V338" s="28"/>
    </row>
    <row r="339" spans="1:22" ht="15" customHeight="1">
      <c r="A339" s="31"/>
      <c r="B339" s="3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3"/>
      <c r="T339" s="31"/>
      <c r="U339" s="32"/>
      <c r="V339" s="31"/>
    </row>
    <row r="340" spans="1:22" ht="1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30"/>
      <c r="T340" s="28"/>
      <c r="U340" s="29"/>
      <c r="V340" s="28"/>
    </row>
    <row r="341" spans="1:22" ht="15" customHeight="1">
      <c r="A341" s="31"/>
      <c r="B341" s="3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3"/>
      <c r="T341" s="31"/>
      <c r="U341" s="32"/>
      <c r="V341" s="31"/>
    </row>
    <row r="342" spans="1:22" ht="1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30"/>
      <c r="T342" s="28"/>
      <c r="U342" s="29"/>
      <c r="V342" s="28"/>
    </row>
    <row r="343" spans="1:22" ht="15" customHeight="1">
      <c r="A343" s="31"/>
      <c r="B343" s="3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3"/>
      <c r="T343" s="31"/>
      <c r="U343" s="32"/>
      <c r="V343" s="31"/>
    </row>
    <row r="344" spans="1:22" ht="1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30"/>
      <c r="T344" s="28"/>
      <c r="U344" s="29"/>
      <c r="V344" s="28"/>
    </row>
    <row r="345" spans="1:22" ht="15" customHeight="1">
      <c r="A345" s="31"/>
      <c r="B345" s="3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3"/>
      <c r="T345" s="31"/>
      <c r="U345" s="32"/>
      <c r="V345" s="31"/>
    </row>
    <row r="346" spans="1:22" ht="1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30"/>
      <c r="T346" s="28"/>
      <c r="U346" s="29"/>
      <c r="V346" s="28"/>
    </row>
    <row r="347" spans="1:22" ht="15" customHeight="1">
      <c r="A347" s="31"/>
      <c r="B347" s="3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3"/>
      <c r="T347" s="31"/>
      <c r="U347" s="32"/>
      <c r="V347" s="31"/>
    </row>
    <row r="348" spans="1:22" ht="1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30"/>
      <c r="T348" s="28"/>
      <c r="U348" s="29"/>
      <c r="V348" s="28"/>
    </row>
    <row r="349" spans="1:22" ht="15" customHeight="1">
      <c r="A349" s="31"/>
      <c r="B349" s="3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3"/>
      <c r="T349" s="31"/>
      <c r="U349" s="32"/>
      <c r="V349" s="31"/>
    </row>
    <row r="350" spans="1:22" ht="1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30"/>
      <c r="T350" s="28"/>
      <c r="U350" s="29"/>
      <c r="V350" s="28"/>
    </row>
    <row r="351" spans="1:22" ht="15" customHeight="1">
      <c r="A351" s="31"/>
      <c r="B351" s="3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3"/>
      <c r="T351" s="31"/>
      <c r="U351" s="32"/>
      <c r="V351" s="31"/>
    </row>
    <row r="352" spans="1:22" ht="1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30"/>
      <c r="T352" s="28"/>
      <c r="U352" s="29"/>
      <c r="V352" s="28"/>
    </row>
    <row r="353" spans="1:22" ht="15" customHeight="1">
      <c r="A353" s="31"/>
      <c r="B353" s="3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3"/>
      <c r="T353" s="31"/>
      <c r="U353" s="32"/>
      <c r="V353" s="31"/>
    </row>
    <row r="354" spans="1:22" ht="1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30"/>
      <c r="T354" s="28"/>
      <c r="U354" s="29"/>
      <c r="V354" s="28"/>
    </row>
    <row r="355" spans="1:22" ht="15" customHeight="1">
      <c r="A355" s="31"/>
      <c r="B355" s="3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3"/>
      <c r="T355" s="31"/>
      <c r="U355" s="32"/>
      <c r="V355" s="31"/>
    </row>
    <row r="356" spans="1:22" ht="1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30"/>
      <c r="T356" s="28"/>
      <c r="U356" s="29"/>
      <c r="V356" s="28"/>
    </row>
    <row r="357" spans="1:22" ht="15" customHeight="1">
      <c r="A357" s="31"/>
      <c r="B357" s="3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3"/>
      <c r="T357" s="31"/>
      <c r="U357" s="32"/>
      <c r="V357" s="31"/>
    </row>
    <row r="358" spans="1:22" ht="1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30"/>
      <c r="T358" s="28"/>
      <c r="U358" s="29"/>
      <c r="V358" s="28"/>
    </row>
    <row r="359" spans="1:22" ht="15" customHeight="1">
      <c r="A359" s="31"/>
      <c r="B359" s="3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3"/>
      <c r="T359" s="31"/>
      <c r="U359" s="32"/>
      <c r="V359" s="31"/>
    </row>
    <row r="360" spans="1:22" ht="1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30"/>
      <c r="T360" s="28"/>
      <c r="U360" s="29"/>
      <c r="V360" s="28"/>
    </row>
    <row r="361" spans="1:22" ht="15" customHeight="1">
      <c r="A361" s="31"/>
      <c r="B361" s="3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3"/>
      <c r="T361" s="31"/>
      <c r="U361" s="32"/>
      <c r="V361" s="31"/>
    </row>
    <row r="362" spans="1:22" ht="1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30"/>
      <c r="T362" s="28"/>
      <c r="U362" s="29"/>
      <c r="V362" s="28"/>
    </row>
    <row r="363" spans="1:22" ht="15" customHeight="1">
      <c r="A363" s="31"/>
      <c r="B363" s="3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3"/>
      <c r="T363" s="31"/>
      <c r="U363" s="32"/>
      <c r="V363" s="31"/>
    </row>
    <row r="364" spans="1:22" ht="1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30"/>
      <c r="T364" s="28"/>
      <c r="U364" s="29"/>
      <c r="V364" s="28"/>
    </row>
    <row r="365" spans="1:22" ht="15" customHeight="1">
      <c r="A365" s="31"/>
      <c r="B365" s="3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3"/>
      <c r="T365" s="31"/>
      <c r="U365" s="32"/>
      <c r="V365" s="31"/>
    </row>
    <row r="366" spans="1:22" ht="1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30"/>
      <c r="T366" s="28"/>
      <c r="U366" s="29"/>
      <c r="V366" s="28"/>
    </row>
    <row r="367" spans="1:22" ht="15" customHeight="1">
      <c r="A367" s="31"/>
      <c r="B367" s="3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3"/>
      <c r="T367" s="31"/>
      <c r="U367" s="32"/>
      <c r="V367" s="31"/>
    </row>
    <row r="368" spans="1:22" ht="1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30"/>
      <c r="T368" s="28"/>
      <c r="U368" s="29"/>
      <c r="V368" s="28"/>
    </row>
    <row r="369" spans="1:22" ht="15" customHeight="1">
      <c r="A369" s="31"/>
      <c r="B369" s="3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3"/>
      <c r="T369" s="31"/>
      <c r="U369" s="32"/>
      <c r="V369" s="31"/>
    </row>
    <row r="370" spans="1:22" ht="1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30"/>
      <c r="T370" s="28"/>
      <c r="U370" s="29"/>
      <c r="V370" s="28"/>
    </row>
    <row r="371" spans="1:22" ht="15" customHeight="1">
      <c r="A371" s="31"/>
      <c r="B371" s="3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3"/>
      <c r="T371" s="31"/>
      <c r="U371" s="32"/>
      <c r="V371" s="31"/>
    </row>
    <row r="372" spans="1:22" ht="1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30"/>
      <c r="T372" s="28"/>
      <c r="U372" s="29"/>
      <c r="V372" s="28"/>
    </row>
    <row r="373" spans="1:22" ht="15" customHeight="1">
      <c r="A373" s="31"/>
      <c r="B373" s="3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3"/>
      <c r="T373" s="31"/>
      <c r="U373" s="32"/>
      <c r="V373" s="31"/>
    </row>
    <row r="374" spans="1:22" ht="1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30"/>
      <c r="T374" s="28"/>
      <c r="U374" s="29"/>
      <c r="V374" s="28"/>
    </row>
    <row r="375" spans="1:22" ht="15" customHeight="1">
      <c r="A375" s="31"/>
      <c r="B375" s="3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3"/>
      <c r="T375" s="31"/>
      <c r="U375" s="32"/>
      <c r="V375" s="31"/>
    </row>
    <row r="376" spans="1:22" ht="1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30"/>
      <c r="T376" s="28"/>
      <c r="U376" s="29"/>
      <c r="V376" s="28"/>
    </row>
    <row r="377" spans="1:22" ht="15" customHeight="1">
      <c r="A377" s="31"/>
      <c r="B377" s="3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3"/>
      <c r="T377" s="31"/>
      <c r="U377" s="32"/>
      <c r="V377" s="31"/>
    </row>
    <row r="378" spans="1:22" ht="1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30"/>
      <c r="T378" s="28"/>
      <c r="U378" s="29"/>
      <c r="V378" s="28"/>
    </row>
    <row r="379" spans="1:22" ht="15" customHeight="1">
      <c r="A379" s="31"/>
      <c r="B379" s="3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3"/>
      <c r="T379" s="31"/>
      <c r="U379" s="32"/>
      <c r="V379" s="31"/>
    </row>
    <row r="380" spans="1:22" ht="1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30"/>
      <c r="T380" s="28"/>
      <c r="U380" s="29"/>
      <c r="V380" s="28"/>
    </row>
    <row r="381" spans="1:22" ht="15" customHeight="1">
      <c r="A381" s="31"/>
      <c r="B381" s="3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3"/>
      <c r="T381" s="31"/>
      <c r="U381" s="32"/>
      <c r="V381" s="31"/>
    </row>
    <row r="382" spans="1:22" ht="1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30"/>
      <c r="T382" s="28"/>
      <c r="U382" s="29"/>
      <c r="V382" s="28"/>
    </row>
    <row r="383" spans="1:22" ht="15" customHeight="1">
      <c r="A383" s="31"/>
      <c r="B383" s="3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3"/>
      <c r="T383" s="31"/>
      <c r="U383" s="32"/>
      <c r="V383" s="31"/>
    </row>
    <row r="384" spans="1:22" ht="1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30"/>
      <c r="T384" s="28"/>
      <c r="U384" s="29"/>
      <c r="V384" s="28"/>
    </row>
    <row r="385" spans="1:22" ht="15" customHeight="1">
      <c r="A385" s="31"/>
      <c r="B385" s="3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3"/>
      <c r="T385" s="31"/>
      <c r="U385" s="32"/>
      <c r="V385" s="31"/>
    </row>
    <row r="386" spans="1:22" ht="1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30"/>
      <c r="T386" s="28"/>
      <c r="U386" s="29"/>
      <c r="V386" s="28"/>
    </row>
    <row r="387" spans="1:22" ht="15" customHeight="1">
      <c r="A387" s="31"/>
      <c r="B387" s="3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3"/>
      <c r="T387" s="31"/>
      <c r="U387" s="32"/>
      <c r="V387" s="31"/>
    </row>
    <row r="388" spans="1:22" ht="1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30"/>
      <c r="T388" s="28"/>
      <c r="U388" s="29"/>
      <c r="V388" s="28"/>
    </row>
    <row r="389" spans="1:22" ht="15" customHeight="1">
      <c r="A389" s="31"/>
      <c r="B389" s="3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3"/>
      <c r="T389" s="31"/>
      <c r="U389" s="32"/>
      <c r="V389" s="31"/>
    </row>
    <row r="390" spans="1:22" ht="1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30"/>
      <c r="T390" s="28"/>
      <c r="U390" s="29"/>
      <c r="V390" s="28"/>
    </row>
    <row r="391" spans="1:22" ht="15" customHeight="1">
      <c r="A391" s="31"/>
      <c r="B391" s="3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3"/>
      <c r="T391" s="31"/>
      <c r="U391" s="32"/>
      <c r="V391" s="31"/>
    </row>
    <row r="392" spans="1:22" ht="1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30"/>
      <c r="T392" s="28"/>
      <c r="U392" s="29"/>
      <c r="V392" s="28"/>
    </row>
    <row r="393" spans="1:22" ht="15" customHeight="1">
      <c r="A393" s="31"/>
      <c r="B393" s="3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3"/>
      <c r="T393" s="31"/>
      <c r="U393" s="32"/>
      <c r="V393" s="31"/>
    </row>
    <row r="394" spans="1:22" ht="1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30"/>
      <c r="T394" s="28"/>
      <c r="U394" s="29"/>
      <c r="V394" s="28"/>
    </row>
    <row r="395" spans="1:22" ht="15" customHeight="1">
      <c r="A395" s="31"/>
      <c r="B395" s="3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3"/>
      <c r="T395" s="31"/>
      <c r="U395" s="32"/>
      <c r="V395" s="31"/>
    </row>
    <row r="396" spans="1:22" ht="1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30"/>
      <c r="T396" s="28"/>
      <c r="U396" s="29"/>
      <c r="V396" s="28"/>
    </row>
    <row r="397" spans="1:22" ht="15" customHeight="1">
      <c r="A397" s="31"/>
      <c r="B397" s="3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3"/>
      <c r="T397" s="31"/>
      <c r="U397" s="32"/>
      <c r="V397" s="31"/>
    </row>
    <row r="398" spans="1:22" ht="1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30"/>
      <c r="T398" s="28"/>
      <c r="U398" s="29"/>
      <c r="V398" s="28"/>
    </row>
    <row r="399" spans="1:22" ht="15" customHeight="1">
      <c r="A399" s="31"/>
      <c r="B399" s="3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3"/>
      <c r="T399" s="31"/>
      <c r="U399" s="32"/>
      <c r="V399" s="31"/>
    </row>
    <row r="400" spans="1:22" ht="1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30"/>
      <c r="T400" s="28"/>
      <c r="U400" s="29"/>
      <c r="V400" s="28"/>
    </row>
    <row r="401" spans="1:22" ht="15" customHeight="1">
      <c r="A401" s="31"/>
      <c r="B401" s="3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3"/>
      <c r="T401" s="31"/>
      <c r="U401" s="32"/>
      <c r="V401" s="31"/>
    </row>
    <row r="402" spans="1:22" ht="1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30"/>
      <c r="T402" s="28"/>
      <c r="U402" s="29"/>
      <c r="V402" s="28"/>
    </row>
    <row r="403" spans="1:22" ht="15" customHeight="1">
      <c r="A403" s="31"/>
      <c r="B403" s="3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3"/>
      <c r="T403" s="31"/>
      <c r="U403" s="32"/>
      <c r="V403" s="31"/>
    </row>
    <row r="404" spans="1:22" ht="1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30"/>
      <c r="T404" s="28"/>
      <c r="U404" s="29"/>
      <c r="V404" s="28"/>
    </row>
    <row r="405" spans="1:22" ht="15" customHeight="1">
      <c r="A405" s="31"/>
      <c r="B405" s="3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3"/>
      <c r="T405" s="31"/>
      <c r="U405" s="32"/>
      <c r="V405" s="31"/>
    </row>
    <row r="406" spans="1:22" ht="1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30"/>
      <c r="T406" s="28"/>
      <c r="U406" s="29"/>
      <c r="V406" s="28"/>
    </row>
    <row r="407" spans="1:22" ht="15" customHeight="1">
      <c r="A407" s="31"/>
      <c r="B407" s="3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3"/>
      <c r="T407" s="31"/>
      <c r="U407" s="32"/>
      <c r="V407" s="31"/>
    </row>
    <row r="408" spans="1:22" ht="1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30"/>
      <c r="T408" s="28"/>
      <c r="U408" s="29"/>
      <c r="V408" s="28"/>
    </row>
    <row r="409" spans="1:22" ht="15" customHeight="1">
      <c r="A409" s="31"/>
      <c r="B409" s="3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3"/>
      <c r="T409" s="31"/>
      <c r="U409" s="32"/>
      <c r="V409" s="31"/>
    </row>
    <row r="410" spans="1:22" ht="1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30"/>
      <c r="T410" s="28"/>
      <c r="U410" s="29"/>
      <c r="V410" s="28"/>
    </row>
    <row r="411" spans="1:22" ht="15" customHeight="1">
      <c r="A411" s="31"/>
      <c r="B411" s="3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3"/>
      <c r="T411" s="31"/>
      <c r="U411" s="32"/>
      <c r="V411" s="31"/>
    </row>
    <row r="412" spans="1:22" ht="1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30"/>
      <c r="T412" s="28"/>
      <c r="U412" s="29"/>
      <c r="V412" s="28"/>
    </row>
    <row r="413" spans="1:22" ht="15" customHeight="1">
      <c r="A413" s="31"/>
      <c r="B413" s="3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3"/>
      <c r="T413" s="31"/>
      <c r="U413" s="32"/>
      <c r="V413" s="31"/>
    </row>
    <row r="414" spans="1:22" ht="1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30"/>
      <c r="T414" s="28"/>
      <c r="U414" s="29"/>
      <c r="V414" s="28"/>
    </row>
    <row r="415" spans="1:22" ht="15" customHeight="1">
      <c r="A415" s="31"/>
      <c r="B415" s="3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3"/>
      <c r="T415" s="31"/>
      <c r="U415" s="32"/>
      <c r="V415" s="31"/>
    </row>
    <row r="416" spans="1:22" ht="1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30"/>
      <c r="T416" s="28"/>
      <c r="U416" s="29"/>
      <c r="V416" s="28"/>
    </row>
    <row r="417" spans="1:22" ht="15" customHeight="1">
      <c r="A417" s="31"/>
      <c r="B417" s="3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3"/>
      <c r="T417" s="31"/>
      <c r="U417" s="32"/>
      <c r="V417" s="31"/>
    </row>
    <row r="418" spans="1:22" ht="1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30"/>
      <c r="T418" s="28"/>
      <c r="U418" s="29"/>
      <c r="V418" s="28"/>
    </row>
    <row r="419" spans="1:22" ht="15" customHeight="1">
      <c r="A419" s="31"/>
      <c r="B419" s="3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3"/>
      <c r="T419" s="31"/>
      <c r="U419" s="32"/>
      <c r="V419" s="31"/>
    </row>
    <row r="420" spans="1:22" ht="1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30"/>
      <c r="T420" s="28"/>
      <c r="U420" s="29"/>
      <c r="V420" s="28"/>
    </row>
    <row r="421" spans="1:22" ht="15" customHeight="1">
      <c r="A421" s="31"/>
      <c r="B421" s="3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3"/>
      <c r="T421" s="31"/>
      <c r="U421" s="32"/>
      <c r="V421" s="31"/>
    </row>
    <row r="422" spans="1:22" ht="1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30"/>
      <c r="T422" s="28"/>
      <c r="U422" s="29"/>
      <c r="V422" s="28"/>
    </row>
    <row r="423" spans="1:22" ht="15" customHeight="1">
      <c r="A423" s="31"/>
      <c r="B423" s="3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3"/>
      <c r="T423" s="31"/>
      <c r="U423" s="32"/>
      <c r="V423" s="31"/>
    </row>
    <row r="424" spans="1:22" ht="1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30"/>
      <c r="T424" s="28"/>
      <c r="U424" s="29"/>
      <c r="V424" s="28"/>
    </row>
    <row r="425" spans="1:22" ht="15" customHeight="1">
      <c r="A425" s="31"/>
      <c r="B425" s="3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3"/>
      <c r="T425" s="31"/>
      <c r="U425" s="32"/>
      <c r="V425" s="31"/>
    </row>
    <row r="426" spans="1:22" ht="1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30"/>
      <c r="T426" s="28"/>
      <c r="U426" s="29"/>
      <c r="V426" s="28"/>
    </row>
    <row r="427" spans="1:22" ht="15" customHeight="1">
      <c r="A427" s="31"/>
      <c r="B427" s="3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3"/>
      <c r="T427" s="31"/>
      <c r="U427" s="32"/>
      <c r="V427" s="31"/>
    </row>
    <row r="428" spans="1:22" ht="1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30"/>
      <c r="T428" s="28"/>
      <c r="U428" s="29"/>
      <c r="V428" s="28"/>
    </row>
    <row r="429" spans="1:22" ht="15" customHeight="1">
      <c r="A429" s="31"/>
      <c r="B429" s="3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3"/>
      <c r="T429" s="31"/>
      <c r="U429" s="32"/>
      <c r="V429" s="31"/>
    </row>
    <row r="430" spans="1:22" ht="1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30"/>
      <c r="T430" s="28"/>
      <c r="U430" s="29"/>
      <c r="V430" s="28"/>
    </row>
    <row r="431" spans="1:22" ht="15" customHeight="1">
      <c r="A431" s="31"/>
      <c r="B431" s="3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3"/>
      <c r="T431" s="31"/>
      <c r="U431" s="32"/>
      <c r="V431" s="31"/>
    </row>
    <row r="432" spans="1:22" ht="1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30"/>
      <c r="T432" s="28"/>
      <c r="U432" s="29"/>
      <c r="V432" s="28"/>
    </row>
    <row r="433" spans="1:22" ht="15" customHeight="1">
      <c r="A433" s="31"/>
      <c r="B433" s="3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3"/>
      <c r="T433" s="31"/>
      <c r="U433" s="32"/>
      <c r="V433" s="31"/>
    </row>
    <row r="434" spans="1:22" ht="1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30"/>
      <c r="T434" s="28"/>
      <c r="U434" s="29"/>
      <c r="V434" s="28"/>
    </row>
    <row r="435" spans="1:22" ht="15" customHeight="1">
      <c r="A435" s="31"/>
      <c r="B435" s="3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3"/>
      <c r="T435" s="31"/>
      <c r="U435" s="32"/>
      <c r="V435" s="31"/>
    </row>
    <row r="436" spans="1:22" ht="1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30"/>
      <c r="T436" s="28"/>
      <c r="U436" s="29"/>
      <c r="V436" s="28"/>
    </row>
    <row r="437" spans="1:22" ht="15" customHeight="1">
      <c r="A437" s="31"/>
      <c r="B437" s="3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3"/>
      <c r="T437" s="31"/>
      <c r="U437" s="32"/>
      <c r="V437" s="31"/>
    </row>
    <row r="438" spans="1:22" ht="1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30"/>
      <c r="T438" s="28"/>
      <c r="U438" s="29"/>
      <c r="V438" s="28"/>
    </row>
    <row r="439" spans="1:22" ht="15" customHeight="1">
      <c r="A439" s="31"/>
      <c r="B439" s="3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3"/>
      <c r="T439" s="31"/>
      <c r="U439" s="32"/>
      <c r="V439" s="31"/>
    </row>
    <row r="440" spans="1:22" ht="1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30"/>
      <c r="T440" s="28"/>
      <c r="U440" s="29"/>
      <c r="V440" s="28"/>
    </row>
    <row r="441" spans="1:22" ht="15" customHeight="1">
      <c r="A441" s="31"/>
      <c r="B441" s="3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3"/>
      <c r="T441" s="31"/>
      <c r="U441" s="32"/>
      <c r="V441" s="31"/>
    </row>
    <row r="442" spans="1:22" ht="1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30"/>
      <c r="T442" s="28"/>
      <c r="U442" s="29"/>
      <c r="V442" s="28"/>
    </row>
    <row r="443" spans="1:22" ht="15" customHeight="1">
      <c r="A443" s="31"/>
      <c r="B443" s="3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3"/>
      <c r="T443" s="31"/>
      <c r="U443" s="32"/>
      <c r="V443" s="31"/>
    </row>
    <row r="444" spans="1:22" ht="1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30"/>
      <c r="T444" s="28"/>
      <c r="U444" s="29"/>
      <c r="V444" s="28"/>
    </row>
    <row r="445" spans="1:22" ht="15" customHeight="1">
      <c r="A445" s="31"/>
      <c r="B445" s="3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3"/>
      <c r="T445" s="31"/>
      <c r="U445" s="32"/>
      <c r="V445" s="31"/>
    </row>
    <row r="446" spans="1:22" ht="1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30"/>
      <c r="T446" s="28"/>
      <c r="U446" s="29"/>
      <c r="V446" s="28"/>
    </row>
    <row r="447" spans="1:22" ht="15" customHeight="1">
      <c r="A447" s="31"/>
      <c r="B447" s="3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3"/>
      <c r="T447" s="31"/>
      <c r="U447" s="32"/>
      <c r="V447" s="31"/>
    </row>
    <row r="448" spans="1:22" ht="1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30"/>
      <c r="T448" s="28"/>
      <c r="U448" s="29"/>
      <c r="V448" s="28"/>
    </row>
    <row r="449" spans="1:22" ht="15" customHeight="1">
      <c r="A449" s="31"/>
      <c r="B449" s="3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3"/>
      <c r="T449" s="31"/>
      <c r="U449" s="32"/>
      <c r="V449" s="31"/>
    </row>
    <row r="450" spans="1:22" ht="1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30"/>
      <c r="T450" s="28"/>
      <c r="U450" s="29"/>
      <c r="V450" s="28"/>
    </row>
    <row r="451" spans="1:22" ht="15" customHeight="1">
      <c r="A451" s="31"/>
      <c r="B451" s="3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3"/>
      <c r="T451" s="31"/>
      <c r="U451" s="32"/>
      <c r="V451" s="31"/>
    </row>
    <row r="452" spans="1:22" ht="1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30"/>
      <c r="T452" s="28"/>
      <c r="U452" s="29"/>
      <c r="V452" s="28"/>
    </row>
    <row r="453" spans="1:22" ht="15" customHeight="1">
      <c r="A453" s="31"/>
      <c r="B453" s="3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3"/>
      <c r="T453" s="31"/>
      <c r="U453" s="32"/>
      <c r="V453" s="31"/>
    </row>
    <row r="454" spans="1:22" ht="1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30"/>
      <c r="T454" s="28"/>
      <c r="U454" s="29"/>
      <c r="V454" s="28"/>
    </row>
    <row r="455" spans="1:22" ht="15" customHeight="1">
      <c r="A455" s="31"/>
      <c r="B455" s="3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3"/>
      <c r="T455" s="31"/>
      <c r="U455" s="32"/>
      <c r="V455" s="31"/>
    </row>
    <row r="456" spans="1:22" ht="1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30"/>
      <c r="T456" s="28"/>
      <c r="U456" s="29"/>
      <c r="V456" s="28"/>
    </row>
    <row r="457" spans="1:22" ht="15" customHeight="1">
      <c r="A457" s="31"/>
      <c r="B457" s="3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3"/>
      <c r="T457" s="31"/>
      <c r="U457" s="32"/>
      <c r="V457" s="31"/>
    </row>
    <row r="458" spans="1:22" ht="1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30"/>
      <c r="T458" s="28"/>
      <c r="U458" s="29"/>
      <c r="V458" s="28"/>
    </row>
    <row r="459" spans="1:22" ht="15" customHeight="1">
      <c r="A459" s="31"/>
      <c r="B459" s="3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3"/>
      <c r="T459" s="31"/>
      <c r="U459" s="32"/>
      <c r="V459" s="31"/>
    </row>
    <row r="460" spans="1:22" ht="1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30"/>
      <c r="T460" s="28"/>
      <c r="U460" s="29"/>
      <c r="V460" s="28"/>
    </row>
    <row r="461" spans="1:22" ht="15" customHeight="1">
      <c r="A461" s="31"/>
      <c r="B461" s="3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3"/>
      <c r="T461" s="31"/>
      <c r="U461" s="32"/>
      <c r="V461" s="31"/>
    </row>
    <row r="462" spans="1:22" ht="1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30"/>
      <c r="T462" s="28"/>
      <c r="U462" s="29"/>
      <c r="V462" s="28"/>
    </row>
    <row r="463" spans="1:22" ht="15" customHeight="1">
      <c r="A463" s="31"/>
      <c r="B463" s="3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3"/>
      <c r="T463" s="31"/>
      <c r="U463" s="32"/>
      <c r="V463" s="31"/>
    </row>
    <row r="464" spans="1:22" ht="1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30"/>
      <c r="T464" s="28"/>
      <c r="U464" s="29"/>
      <c r="V464" s="28"/>
    </row>
    <row r="465" spans="1:22" ht="15" customHeight="1">
      <c r="A465" s="31"/>
      <c r="B465" s="3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3"/>
      <c r="T465" s="31"/>
      <c r="U465" s="32"/>
      <c r="V465" s="31"/>
    </row>
    <row r="466" spans="1:22" ht="1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30"/>
      <c r="T466" s="28"/>
      <c r="U466" s="29"/>
      <c r="V466" s="28"/>
    </row>
    <row r="467" spans="1:22" ht="15" customHeight="1">
      <c r="A467" s="31"/>
      <c r="B467" s="3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3"/>
      <c r="T467" s="31"/>
      <c r="U467" s="32"/>
      <c r="V467" s="31"/>
    </row>
    <row r="468" spans="1:22" ht="1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30"/>
      <c r="T468" s="28"/>
      <c r="U468" s="29"/>
      <c r="V468" s="28"/>
    </row>
    <row r="469" spans="1:22" ht="15" customHeight="1">
      <c r="A469" s="31"/>
      <c r="B469" s="3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3"/>
      <c r="T469" s="31"/>
      <c r="U469" s="32"/>
      <c r="V469" s="31"/>
    </row>
    <row r="470" spans="1:22" ht="1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30"/>
      <c r="T470" s="28"/>
      <c r="U470" s="29"/>
      <c r="V470" s="28"/>
    </row>
    <row r="471" spans="1:22" ht="15" customHeight="1">
      <c r="A471" s="31"/>
      <c r="B471" s="3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3"/>
      <c r="T471" s="31"/>
      <c r="U471" s="32"/>
      <c r="V471" s="31"/>
    </row>
    <row r="472" spans="1:22" ht="1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30"/>
      <c r="T472" s="28"/>
      <c r="U472" s="29"/>
      <c r="V472" s="28"/>
    </row>
    <row r="473" spans="1:22" ht="15" customHeight="1">
      <c r="A473" s="31"/>
      <c r="B473" s="3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3"/>
      <c r="T473" s="31"/>
      <c r="U473" s="32"/>
      <c r="V473" s="31"/>
    </row>
    <row r="474" spans="1:22" ht="1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30"/>
      <c r="T474" s="28"/>
      <c r="U474" s="29"/>
      <c r="V474" s="28"/>
    </row>
    <row r="475" spans="1:22" ht="15" customHeight="1">
      <c r="A475" s="31"/>
      <c r="B475" s="3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3"/>
      <c r="T475" s="31"/>
      <c r="U475" s="32"/>
      <c r="V475" s="31"/>
    </row>
    <row r="476" spans="1:22" ht="1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30"/>
      <c r="T476" s="28"/>
      <c r="U476" s="29"/>
      <c r="V476" s="28"/>
    </row>
    <row r="477" spans="1:22" ht="15" customHeight="1">
      <c r="A477" s="31"/>
      <c r="B477" s="3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3"/>
      <c r="T477" s="31"/>
      <c r="U477" s="32"/>
      <c r="V477" s="31"/>
    </row>
    <row r="478" spans="1:22" ht="1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30"/>
      <c r="T478" s="28"/>
      <c r="U478" s="29"/>
      <c r="V478" s="28"/>
    </row>
    <row r="479" spans="1:22" ht="15" customHeight="1">
      <c r="A479" s="31"/>
      <c r="B479" s="3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3"/>
      <c r="T479" s="31"/>
      <c r="U479" s="32"/>
      <c r="V479" s="31"/>
    </row>
    <row r="480" spans="1:22" ht="1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30"/>
      <c r="T480" s="28"/>
      <c r="U480" s="29"/>
      <c r="V480" s="28"/>
    </row>
    <row r="481" spans="1:22" ht="15" customHeight="1">
      <c r="A481" s="31"/>
      <c r="B481" s="3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3"/>
      <c r="T481" s="31"/>
      <c r="U481" s="32"/>
      <c r="V481" s="31"/>
    </row>
    <row r="482" spans="1:22" ht="1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30"/>
      <c r="T482" s="28"/>
      <c r="U482" s="29"/>
      <c r="V482" s="28"/>
    </row>
    <row r="483" spans="1:22" ht="15" customHeight="1">
      <c r="A483" s="31"/>
      <c r="B483" s="3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3"/>
      <c r="T483" s="31"/>
      <c r="U483" s="32"/>
      <c r="V483" s="31"/>
    </row>
    <row r="484" spans="1:22" ht="1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30"/>
      <c r="T484" s="28"/>
      <c r="U484" s="29"/>
      <c r="V484" s="28"/>
    </row>
    <row r="485" spans="1:22" ht="15" customHeight="1">
      <c r="A485" s="31"/>
      <c r="B485" s="3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3"/>
      <c r="T485" s="31"/>
      <c r="U485" s="32"/>
      <c r="V485" s="31"/>
    </row>
    <row r="486" spans="1:22" ht="1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30"/>
      <c r="T486" s="28"/>
      <c r="U486" s="29"/>
      <c r="V486" s="28"/>
    </row>
    <row r="487" spans="1:22" ht="15" customHeight="1">
      <c r="A487" s="31"/>
      <c r="B487" s="3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3"/>
      <c r="T487" s="31"/>
      <c r="U487" s="32"/>
      <c r="V487" s="31"/>
    </row>
    <row r="488" spans="1:22" ht="1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30"/>
      <c r="T488" s="28"/>
      <c r="U488" s="29"/>
      <c r="V488" s="28"/>
    </row>
    <row r="489" spans="1:22" ht="15" customHeight="1">
      <c r="A489" s="31"/>
      <c r="B489" s="3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3"/>
      <c r="T489" s="31"/>
      <c r="U489" s="32"/>
      <c r="V489" s="31"/>
    </row>
    <row r="490" spans="1:22" ht="1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30"/>
      <c r="T490" s="28"/>
      <c r="U490" s="29"/>
      <c r="V490" s="28"/>
    </row>
    <row r="491" spans="1:22" ht="15" customHeight="1">
      <c r="A491" s="31"/>
      <c r="B491" s="3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3"/>
      <c r="T491" s="31"/>
      <c r="U491" s="32"/>
      <c r="V491" s="31"/>
    </row>
    <row r="492" spans="1:22" ht="1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30"/>
      <c r="T492" s="28"/>
      <c r="U492" s="29"/>
      <c r="V492" s="28"/>
    </row>
    <row r="493" spans="1:22" ht="15" customHeight="1">
      <c r="A493" s="31"/>
      <c r="B493" s="3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3"/>
      <c r="T493" s="31"/>
      <c r="U493" s="32"/>
      <c r="V493" s="31"/>
    </row>
    <row r="494" spans="1:22" ht="1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30"/>
      <c r="T494" s="28"/>
      <c r="U494" s="29"/>
      <c r="V494" s="28"/>
    </row>
    <row r="495" spans="1:22" ht="15" customHeight="1">
      <c r="A495" s="31"/>
      <c r="B495" s="3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3"/>
      <c r="T495" s="31"/>
      <c r="U495" s="32"/>
      <c r="V495" s="31"/>
    </row>
    <row r="496" spans="1:22" ht="1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30"/>
      <c r="T496" s="28"/>
      <c r="U496" s="29"/>
      <c r="V496" s="28"/>
    </row>
    <row r="497" spans="1:22" ht="15" customHeight="1">
      <c r="A497" s="31"/>
      <c r="B497" s="3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3"/>
      <c r="T497" s="31"/>
      <c r="U497" s="32"/>
      <c r="V497" s="31"/>
    </row>
    <row r="498" spans="1:22" ht="1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30"/>
      <c r="T498" s="28"/>
      <c r="U498" s="29"/>
      <c r="V498" s="28"/>
    </row>
    <row r="499" spans="1:22" ht="15" customHeight="1">
      <c r="A499" s="31"/>
      <c r="B499" s="3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3"/>
      <c r="T499" s="31"/>
      <c r="U499" s="32"/>
      <c r="V499" s="31"/>
    </row>
    <row r="500" spans="1:22" ht="1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30"/>
      <c r="T500" s="28"/>
      <c r="U500" s="29"/>
      <c r="V500" s="28"/>
    </row>
    <row r="501" spans="1:22" ht="15" customHeight="1">
      <c r="A501" s="31"/>
      <c r="B501" s="3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3"/>
      <c r="T501" s="31"/>
      <c r="U501" s="32"/>
      <c r="V501" s="31"/>
    </row>
    <row r="502" spans="1:22" ht="1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30"/>
      <c r="T502" s="28"/>
      <c r="U502" s="29"/>
      <c r="V502" s="28"/>
    </row>
    <row r="503" spans="1:22" ht="15" customHeight="1">
      <c r="A503" s="31"/>
      <c r="B503" s="3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3"/>
      <c r="T503" s="31"/>
      <c r="U503" s="32"/>
      <c r="V503" s="31"/>
    </row>
    <row r="504" spans="1:22" ht="1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30"/>
      <c r="T504" s="28"/>
      <c r="U504" s="29"/>
      <c r="V504" s="28"/>
    </row>
    <row r="505" spans="1:22" ht="15" customHeight="1">
      <c r="A505" s="31"/>
      <c r="B505" s="3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3"/>
      <c r="T505" s="31"/>
      <c r="U505" s="32"/>
      <c r="V505" s="31"/>
    </row>
    <row r="506" spans="1:22" ht="1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30"/>
      <c r="T506" s="28"/>
      <c r="U506" s="29"/>
      <c r="V506" s="28"/>
    </row>
    <row r="507" spans="1:22" ht="15" customHeight="1">
      <c r="A507" s="31"/>
      <c r="B507" s="3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3"/>
      <c r="T507" s="31"/>
      <c r="U507" s="32"/>
      <c r="V507" s="31"/>
    </row>
    <row r="508" spans="1:22" ht="1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30"/>
      <c r="T508" s="28"/>
      <c r="U508" s="29"/>
      <c r="V508" s="28"/>
    </row>
    <row r="509" spans="1:22" ht="15" customHeight="1">
      <c r="A509" s="31"/>
      <c r="B509" s="3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3"/>
      <c r="T509" s="31"/>
      <c r="U509" s="32"/>
      <c r="V509" s="31"/>
    </row>
    <row r="510" spans="1:22" ht="1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30"/>
      <c r="T510" s="28"/>
      <c r="U510" s="29"/>
      <c r="V510" s="28"/>
    </row>
    <row r="511" spans="1:22" ht="15" customHeight="1">
      <c r="A511" s="31"/>
      <c r="B511" s="3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3"/>
      <c r="T511" s="31"/>
      <c r="U511" s="32"/>
      <c r="V511" s="31"/>
    </row>
    <row r="512" spans="1:22" ht="1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30"/>
      <c r="T512" s="28"/>
      <c r="U512" s="29"/>
      <c r="V512" s="28"/>
    </row>
    <row r="513" spans="1:22" ht="15" customHeight="1">
      <c r="A513" s="31"/>
      <c r="B513" s="3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3"/>
      <c r="T513" s="31"/>
      <c r="U513" s="32"/>
      <c r="V513" s="31"/>
    </row>
    <row r="514" spans="1:22" ht="1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30"/>
      <c r="T514" s="28"/>
      <c r="U514" s="29"/>
      <c r="V514" s="28"/>
    </row>
    <row r="515" spans="1:22" ht="15" customHeight="1">
      <c r="A515" s="31"/>
      <c r="B515" s="3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3"/>
      <c r="T515" s="31"/>
      <c r="U515" s="32"/>
      <c r="V515" s="31"/>
    </row>
    <row r="516" spans="1:22" ht="1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30"/>
      <c r="T516" s="28"/>
      <c r="U516" s="29"/>
      <c r="V516" s="28"/>
    </row>
    <row r="517" spans="1:22" ht="15" customHeight="1">
      <c r="A517" s="31"/>
      <c r="B517" s="3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3"/>
      <c r="T517" s="31"/>
      <c r="U517" s="32"/>
      <c r="V517" s="31"/>
    </row>
    <row r="518" spans="1:22" ht="1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30"/>
      <c r="T518" s="28"/>
      <c r="U518" s="29"/>
      <c r="V518" s="28"/>
    </row>
    <row r="519" spans="1:22" ht="15" customHeight="1">
      <c r="A519" s="31"/>
      <c r="B519" s="3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3"/>
      <c r="T519" s="31"/>
      <c r="U519" s="32"/>
      <c r="V519" s="31"/>
    </row>
    <row r="520" spans="1:22" ht="1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30"/>
      <c r="T520" s="28"/>
      <c r="U520" s="29"/>
      <c r="V520" s="28"/>
    </row>
    <row r="521" spans="1:22" ht="15" customHeight="1">
      <c r="A521" s="31"/>
      <c r="B521" s="3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3"/>
      <c r="T521" s="31"/>
      <c r="U521" s="32"/>
      <c r="V521" s="31"/>
    </row>
    <row r="522" spans="1:22" ht="1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30"/>
      <c r="T522" s="28"/>
      <c r="U522" s="29"/>
      <c r="V522" s="28"/>
    </row>
    <row r="523" spans="1:22" ht="15" customHeight="1">
      <c r="A523" s="31"/>
      <c r="B523" s="3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3"/>
      <c r="T523" s="31"/>
      <c r="U523" s="32"/>
      <c r="V523" s="31"/>
    </row>
    <row r="524" spans="1:22" ht="1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30"/>
      <c r="T524" s="28"/>
      <c r="U524" s="29"/>
      <c r="V524" s="28"/>
    </row>
    <row r="525" spans="1:22" ht="15" customHeight="1">
      <c r="A525" s="31"/>
      <c r="B525" s="3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3"/>
      <c r="T525" s="31"/>
      <c r="U525" s="32"/>
      <c r="V525" s="31"/>
    </row>
    <row r="526" spans="1:22" ht="1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30"/>
      <c r="T526" s="28"/>
      <c r="U526" s="29"/>
      <c r="V526" s="28"/>
    </row>
    <row r="527" spans="1:22" ht="15" customHeight="1">
      <c r="A527" s="31"/>
      <c r="B527" s="3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3"/>
      <c r="T527" s="31"/>
      <c r="U527" s="32"/>
      <c r="V527" s="31"/>
    </row>
    <row r="528" spans="1:22" ht="1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30"/>
      <c r="T528" s="28"/>
      <c r="U528" s="29"/>
      <c r="V528" s="28"/>
    </row>
    <row r="529" spans="1:22" ht="15" customHeight="1">
      <c r="A529" s="31"/>
      <c r="B529" s="3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3"/>
      <c r="T529" s="31"/>
      <c r="U529" s="32"/>
      <c r="V529" s="31"/>
    </row>
    <row r="530" spans="1:22" ht="1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30"/>
      <c r="T530" s="28"/>
      <c r="U530" s="29"/>
      <c r="V530" s="28"/>
    </row>
    <row r="531" spans="1:22" ht="15" customHeight="1">
      <c r="A531" s="31"/>
      <c r="B531" s="3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3"/>
      <c r="T531" s="31"/>
      <c r="U531" s="32"/>
      <c r="V531" s="31"/>
    </row>
    <row r="532" spans="1:22" ht="1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30"/>
      <c r="T532" s="28"/>
      <c r="U532" s="29"/>
      <c r="V532" s="28"/>
    </row>
    <row r="533" spans="1:22" ht="15" customHeight="1">
      <c r="A533" s="31"/>
      <c r="B533" s="3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3"/>
      <c r="T533" s="31"/>
      <c r="U533" s="32"/>
      <c r="V533" s="31"/>
    </row>
    <row r="534" spans="1:22" ht="1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30"/>
      <c r="T534" s="28"/>
      <c r="U534" s="29"/>
      <c r="V534" s="28"/>
    </row>
    <row r="535" spans="1:22" ht="15" customHeight="1">
      <c r="A535" s="31"/>
      <c r="B535" s="3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3"/>
      <c r="T535" s="31"/>
      <c r="U535" s="32"/>
      <c r="V535" s="31"/>
    </row>
    <row r="536" spans="1:22" ht="1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30"/>
      <c r="T536" s="28"/>
      <c r="U536" s="29"/>
      <c r="V536" s="28"/>
    </row>
    <row r="537" spans="1:22" ht="15" customHeight="1">
      <c r="A537" s="31"/>
      <c r="B537" s="3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3"/>
      <c r="T537" s="31"/>
      <c r="U537" s="32"/>
      <c r="V537" s="31"/>
    </row>
    <row r="538" spans="1:22" ht="1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30"/>
      <c r="T538" s="28"/>
      <c r="U538" s="29"/>
      <c r="V538" s="28"/>
    </row>
    <row r="539" spans="1:22" ht="15" customHeight="1">
      <c r="A539" s="31"/>
      <c r="B539" s="3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3"/>
      <c r="T539" s="31"/>
      <c r="U539" s="32"/>
      <c r="V539" s="31"/>
    </row>
    <row r="540" spans="1:22" ht="1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30"/>
      <c r="T540" s="28"/>
      <c r="U540" s="29"/>
      <c r="V540" s="28"/>
    </row>
    <row r="541" spans="1:22" ht="15" customHeight="1">
      <c r="A541" s="31"/>
      <c r="B541" s="3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3"/>
      <c r="T541" s="31"/>
      <c r="U541" s="32"/>
      <c r="V541" s="31"/>
    </row>
    <row r="542" spans="1:22" ht="1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30"/>
      <c r="T542" s="28"/>
      <c r="U542" s="29"/>
      <c r="V542" s="28"/>
    </row>
    <row r="543" spans="1:22" ht="15" customHeight="1">
      <c r="A543" s="31"/>
      <c r="B543" s="3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3"/>
      <c r="T543" s="31"/>
      <c r="U543" s="32"/>
      <c r="V543" s="31"/>
    </row>
    <row r="544" spans="1:22" ht="1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30"/>
      <c r="T544" s="28"/>
      <c r="U544" s="29"/>
      <c r="V544" s="28"/>
    </row>
    <row r="545" spans="1:22" ht="15" customHeight="1">
      <c r="A545" s="31"/>
      <c r="B545" s="3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3"/>
      <c r="T545" s="31"/>
      <c r="U545" s="32"/>
      <c r="V545" s="31"/>
    </row>
    <row r="546" spans="1:22" ht="1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30"/>
      <c r="T546" s="28"/>
      <c r="U546" s="29"/>
      <c r="V546" s="28"/>
    </row>
    <row r="547" spans="1:22" ht="15" customHeight="1">
      <c r="A547" s="31"/>
      <c r="B547" s="3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3"/>
      <c r="T547" s="31"/>
      <c r="U547" s="32"/>
      <c r="V547" s="31"/>
    </row>
    <row r="548" spans="1:22" ht="1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30"/>
      <c r="T548" s="28"/>
      <c r="U548" s="29"/>
      <c r="V548" s="28"/>
    </row>
    <row r="549" spans="1:22" ht="15" customHeight="1">
      <c r="A549" s="31"/>
      <c r="B549" s="3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3"/>
      <c r="T549" s="31"/>
      <c r="U549" s="32"/>
      <c r="V549" s="31"/>
    </row>
    <row r="550" spans="1:22" ht="1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30"/>
      <c r="T550" s="28"/>
      <c r="U550" s="29"/>
      <c r="V550" s="28"/>
    </row>
    <row r="551" spans="1:22" ht="15" customHeight="1">
      <c r="A551" s="31"/>
      <c r="B551" s="3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3"/>
      <c r="T551" s="31"/>
      <c r="U551" s="32"/>
      <c r="V551" s="31"/>
    </row>
    <row r="552" spans="1:22" ht="1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30"/>
      <c r="T552" s="28"/>
      <c r="U552" s="29"/>
      <c r="V552" s="28"/>
    </row>
    <row r="553" spans="1:22" ht="15" customHeight="1">
      <c r="A553" s="31"/>
      <c r="B553" s="3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3"/>
      <c r="T553" s="31"/>
      <c r="U553" s="32"/>
      <c r="V553" s="31"/>
    </row>
    <row r="554" spans="1:22" ht="1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30"/>
      <c r="T554" s="28"/>
      <c r="U554" s="29"/>
      <c r="V554" s="28"/>
    </row>
    <row r="555" spans="1:22" ht="15" customHeight="1">
      <c r="A555" s="31"/>
      <c r="B555" s="3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3"/>
      <c r="T555" s="31"/>
      <c r="U555" s="32"/>
      <c r="V555" s="31"/>
    </row>
    <row r="556" spans="1:22" ht="1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30"/>
      <c r="T556" s="28"/>
      <c r="U556" s="29"/>
      <c r="V556" s="28"/>
    </row>
    <row r="557" spans="1:22" ht="15" customHeight="1">
      <c r="A557" s="31"/>
      <c r="B557" s="3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3"/>
      <c r="T557" s="31"/>
      <c r="U557" s="32"/>
      <c r="V557" s="31"/>
    </row>
    <row r="558" spans="1:22" ht="1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30"/>
      <c r="T558" s="28"/>
      <c r="U558" s="29"/>
      <c r="V558" s="28"/>
    </row>
    <row r="559" spans="1:22" ht="15" customHeight="1">
      <c r="A559" s="31"/>
      <c r="B559" s="3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3"/>
      <c r="T559" s="31"/>
      <c r="U559" s="32"/>
      <c r="V559" s="31"/>
    </row>
    <row r="560" spans="1:22" ht="1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30"/>
      <c r="T560" s="28"/>
      <c r="U560" s="29"/>
      <c r="V560" s="28"/>
    </row>
    <row r="561" spans="1:22" ht="15" customHeight="1">
      <c r="A561" s="31"/>
      <c r="B561" s="3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3"/>
      <c r="T561" s="31"/>
      <c r="U561" s="32"/>
      <c r="V561" s="31"/>
    </row>
    <row r="562" spans="1:22" ht="1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30"/>
      <c r="T562" s="28"/>
      <c r="U562" s="29"/>
      <c r="V562" s="28"/>
    </row>
    <row r="563" spans="1:22" ht="15" customHeight="1">
      <c r="A563" s="31"/>
      <c r="B563" s="3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3"/>
      <c r="T563" s="31"/>
      <c r="U563" s="32"/>
      <c r="V563" s="31"/>
    </row>
    <row r="564" spans="1:22" ht="1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30"/>
      <c r="T564" s="28"/>
      <c r="U564" s="29"/>
      <c r="V564" s="28"/>
    </row>
    <row r="565" spans="1:22" ht="15" customHeight="1">
      <c r="A565" s="31"/>
      <c r="B565" s="3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3"/>
      <c r="T565" s="31"/>
      <c r="U565" s="32"/>
      <c r="V565" s="31"/>
    </row>
    <row r="566" spans="1:22" ht="1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30"/>
      <c r="T566" s="28"/>
      <c r="U566" s="29"/>
      <c r="V566" s="28"/>
    </row>
    <row r="567" spans="1:22" ht="15" customHeight="1">
      <c r="A567" s="31"/>
      <c r="B567" s="3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3"/>
      <c r="T567" s="31"/>
      <c r="U567" s="32"/>
      <c r="V567" s="31"/>
    </row>
    <row r="568" spans="1:22" ht="1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30"/>
      <c r="T568" s="28"/>
      <c r="U568" s="29"/>
      <c r="V568" s="28"/>
    </row>
    <row r="569" spans="1:22" ht="15" customHeight="1">
      <c r="A569" s="31"/>
      <c r="B569" s="3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3"/>
      <c r="T569" s="31"/>
      <c r="U569" s="32"/>
      <c r="V569" s="31"/>
    </row>
    <row r="570" spans="1:22" ht="1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30"/>
      <c r="T570" s="28"/>
      <c r="U570" s="29"/>
      <c r="V570" s="28"/>
    </row>
    <row r="571" spans="1:22" ht="15" customHeight="1">
      <c r="A571" s="31"/>
      <c r="B571" s="3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3"/>
      <c r="T571" s="31"/>
      <c r="U571" s="32"/>
      <c r="V571" s="31"/>
    </row>
    <row r="572" spans="1:22" ht="1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30"/>
      <c r="T572" s="28"/>
      <c r="U572" s="29"/>
      <c r="V572" s="28"/>
    </row>
    <row r="573" spans="1:22" ht="15" customHeight="1">
      <c r="A573" s="31"/>
      <c r="B573" s="3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3"/>
      <c r="T573" s="31"/>
      <c r="U573" s="32"/>
      <c r="V573" s="31"/>
    </row>
    <row r="574" spans="1:22" ht="1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30"/>
      <c r="T574" s="28"/>
      <c r="U574" s="29"/>
      <c r="V574" s="28"/>
    </row>
    <row r="575" spans="1:22" ht="15" customHeight="1">
      <c r="A575" s="31"/>
      <c r="B575" s="3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3"/>
      <c r="T575" s="31"/>
      <c r="U575" s="32"/>
      <c r="V575" s="31"/>
    </row>
    <row r="576" spans="1:22" ht="1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30"/>
      <c r="T576" s="28"/>
      <c r="U576" s="29"/>
      <c r="V576" s="28"/>
    </row>
    <row r="577" spans="1:22" ht="15" customHeight="1">
      <c r="A577" s="31"/>
      <c r="B577" s="3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3"/>
      <c r="T577" s="31"/>
      <c r="U577" s="32"/>
      <c r="V577" s="31"/>
    </row>
    <row r="578" spans="1:22" ht="1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30"/>
      <c r="T578" s="28"/>
      <c r="U578" s="29"/>
      <c r="V578" s="28"/>
    </row>
    <row r="579" spans="1:22" ht="15" customHeight="1">
      <c r="A579" s="31"/>
      <c r="B579" s="3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3"/>
      <c r="T579" s="31"/>
      <c r="U579" s="32"/>
      <c r="V579" s="31"/>
    </row>
    <row r="580" spans="1:22" ht="1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30"/>
      <c r="T580" s="28"/>
      <c r="U580" s="29"/>
      <c r="V580" s="28"/>
    </row>
    <row r="581" spans="1:22" ht="15" customHeight="1">
      <c r="A581" s="31"/>
      <c r="B581" s="3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3"/>
      <c r="T581" s="31"/>
      <c r="U581" s="32"/>
      <c r="V581" s="31"/>
    </row>
    <row r="582" spans="1:22" ht="1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30"/>
      <c r="T582" s="28"/>
      <c r="U582" s="29"/>
      <c r="V582" s="28"/>
    </row>
    <row r="583" spans="1:22" ht="15" customHeight="1">
      <c r="A583" s="31"/>
      <c r="B583" s="3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3"/>
      <c r="T583" s="31"/>
      <c r="U583" s="32"/>
      <c r="V583" s="31"/>
    </row>
    <row r="584" spans="1:22" ht="1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30"/>
      <c r="T584" s="28"/>
      <c r="U584" s="29"/>
      <c r="V584" s="28"/>
    </row>
    <row r="585" spans="1:22" ht="15" customHeight="1">
      <c r="A585" s="31"/>
      <c r="B585" s="3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3"/>
      <c r="T585" s="31"/>
      <c r="U585" s="32"/>
      <c r="V585" s="31"/>
    </row>
    <row r="586" spans="1:22" ht="1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30"/>
      <c r="T586" s="28"/>
      <c r="U586" s="29"/>
      <c r="V586" s="28"/>
    </row>
    <row r="587" spans="1:22" ht="15" customHeight="1">
      <c r="A587" s="31"/>
      <c r="B587" s="3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3"/>
      <c r="T587" s="31"/>
      <c r="U587" s="32"/>
      <c r="V587" s="31"/>
    </row>
    <row r="588" spans="1:22" ht="1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30"/>
      <c r="T588" s="28"/>
      <c r="U588" s="29"/>
      <c r="V588" s="28"/>
    </row>
    <row r="589" spans="1:22" ht="15" customHeight="1">
      <c r="A589" s="31"/>
      <c r="B589" s="3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3"/>
      <c r="T589" s="31"/>
      <c r="U589" s="32"/>
      <c r="V589" s="31"/>
    </row>
    <row r="590" spans="1:22" ht="1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30"/>
      <c r="T590" s="28"/>
      <c r="U590" s="29"/>
      <c r="V590" s="28"/>
    </row>
    <row r="591" spans="1:22" ht="15" customHeight="1">
      <c r="A591" s="31"/>
      <c r="B591" s="3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3"/>
      <c r="T591" s="31"/>
      <c r="U591" s="32"/>
      <c r="V591" s="31"/>
    </row>
    <row r="592" spans="1:22" ht="1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30"/>
      <c r="T592" s="28"/>
      <c r="U592" s="29"/>
      <c r="V592" s="28"/>
    </row>
    <row r="593" spans="1:22" ht="15" customHeight="1">
      <c r="A593" s="31"/>
      <c r="B593" s="3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3"/>
      <c r="T593" s="31"/>
      <c r="U593" s="32"/>
      <c r="V593" s="31"/>
    </row>
    <row r="594" spans="1:22" ht="1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30"/>
      <c r="T594" s="28"/>
      <c r="U594" s="29"/>
      <c r="V594" s="28"/>
    </row>
    <row r="595" spans="1:22" ht="15" customHeight="1">
      <c r="A595" s="31"/>
      <c r="B595" s="3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3"/>
      <c r="T595" s="31"/>
      <c r="U595" s="32"/>
      <c r="V595" s="31"/>
    </row>
    <row r="596" spans="1:22" ht="1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30"/>
      <c r="T596" s="28"/>
      <c r="U596" s="29"/>
      <c r="V596" s="28"/>
    </row>
    <row r="597" spans="1:22" ht="15" customHeight="1">
      <c r="A597" s="31"/>
      <c r="B597" s="3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3"/>
      <c r="T597" s="31"/>
      <c r="U597" s="32"/>
      <c r="V597" s="31"/>
    </row>
    <row r="598" spans="1:22" ht="1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30"/>
      <c r="T598" s="28"/>
      <c r="U598" s="29"/>
      <c r="V598" s="28"/>
    </row>
    <row r="599" spans="1:22" ht="15" customHeight="1">
      <c r="A599" s="31"/>
      <c r="B599" s="3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3"/>
      <c r="T599" s="31"/>
      <c r="U599" s="32"/>
      <c r="V599" s="31"/>
    </row>
    <row r="600" spans="1:22" ht="1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30"/>
      <c r="T600" s="28"/>
      <c r="U600" s="29"/>
      <c r="V600" s="28"/>
    </row>
    <row r="601" spans="1:22" ht="15" customHeight="1">
      <c r="A601" s="31"/>
      <c r="B601" s="3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3"/>
      <c r="T601" s="31"/>
      <c r="U601" s="32"/>
      <c r="V601" s="31"/>
    </row>
    <row r="602" spans="1:22" ht="1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30"/>
      <c r="T602" s="28"/>
      <c r="U602" s="29"/>
      <c r="V602" s="28"/>
    </row>
    <row r="603" spans="1:22" ht="15" customHeight="1">
      <c r="A603" s="31"/>
      <c r="B603" s="3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3"/>
      <c r="T603" s="31"/>
      <c r="U603" s="32"/>
      <c r="V603" s="31"/>
    </row>
    <row r="604" spans="1:22" ht="1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30"/>
      <c r="T604" s="28"/>
      <c r="U604" s="29"/>
      <c r="V604" s="28"/>
    </row>
    <row r="605" spans="1:22" ht="15" customHeight="1">
      <c r="A605" s="31"/>
      <c r="B605" s="3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3"/>
      <c r="T605" s="31"/>
      <c r="U605" s="32"/>
      <c r="V605" s="31"/>
    </row>
    <row r="606" spans="1:22" ht="1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30"/>
      <c r="T606" s="28"/>
      <c r="U606" s="29"/>
      <c r="V606" s="28"/>
    </row>
    <row r="607" spans="1:22" ht="15" customHeight="1">
      <c r="A607" s="31"/>
      <c r="B607" s="3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3"/>
      <c r="T607" s="31"/>
      <c r="U607" s="32"/>
      <c r="V607" s="31"/>
    </row>
    <row r="608" spans="1:22" ht="1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30"/>
      <c r="T608" s="28"/>
      <c r="U608" s="29"/>
      <c r="V608" s="28"/>
    </row>
    <row r="609" spans="1:22" ht="15" customHeight="1">
      <c r="A609" s="31"/>
      <c r="B609" s="3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3"/>
      <c r="T609" s="31"/>
      <c r="U609" s="32"/>
      <c r="V609" s="31"/>
    </row>
    <row r="610" spans="1:22" ht="1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30"/>
      <c r="T610" s="28"/>
      <c r="U610" s="29"/>
      <c r="V610" s="28"/>
    </row>
    <row r="611" spans="1:22" ht="15" customHeight="1">
      <c r="A611" s="31"/>
      <c r="B611" s="3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3"/>
      <c r="T611" s="31"/>
      <c r="U611" s="32"/>
      <c r="V611" s="31"/>
    </row>
    <row r="612" spans="1:22" ht="1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30"/>
      <c r="T612" s="28"/>
      <c r="U612" s="29"/>
      <c r="V612" s="28"/>
    </row>
    <row r="613" spans="1:22" ht="15" customHeight="1">
      <c r="A613" s="31"/>
      <c r="B613" s="3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3"/>
      <c r="T613" s="31"/>
      <c r="U613" s="32"/>
      <c r="V613" s="31"/>
    </row>
    <row r="614" spans="1:22" ht="1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30"/>
      <c r="T614" s="28"/>
      <c r="U614" s="29"/>
      <c r="V614" s="28"/>
    </row>
    <row r="615" spans="1:22" ht="15" customHeight="1">
      <c r="A615" s="31"/>
      <c r="B615" s="3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3"/>
      <c r="T615" s="31"/>
      <c r="U615" s="32"/>
      <c r="V615" s="31"/>
    </row>
    <row r="616" spans="1:22" ht="1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30"/>
      <c r="T616" s="28"/>
      <c r="U616" s="29"/>
      <c r="V616" s="28"/>
    </row>
    <row r="617" spans="1:22" ht="15" customHeight="1">
      <c r="A617" s="31"/>
      <c r="B617" s="3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3"/>
      <c r="T617" s="31"/>
      <c r="U617" s="32"/>
      <c r="V617" s="31"/>
    </row>
    <row r="618" spans="1:22" ht="1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30"/>
      <c r="T618" s="28"/>
      <c r="U618" s="29"/>
      <c r="V618" s="28"/>
    </row>
    <row r="619" spans="1:22" ht="15" customHeight="1">
      <c r="A619" s="31"/>
      <c r="B619" s="3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3"/>
      <c r="T619" s="31"/>
      <c r="U619" s="32"/>
      <c r="V619" s="31"/>
    </row>
    <row r="620" spans="1:22" ht="1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30"/>
      <c r="T620" s="28"/>
      <c r="U620" s="29"/>
      <c r="V620" s="28"/>
    </row>
    <row r="621" spans="1:22" ht="15" customHeight="1">
      <c r="A621" s="31"/>
      <c r="B621" s="3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3"/>
      <c r="T621" s="31"/>
      <c r="U621" s="32"/>
      <c r="V621" s="31"/>
    </row>
    <row r="622" spans="1:22" ht="1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30"/>
      <c r="T622" s="28"/>
      <c r="U622" s="29"/>
      <c r="V622" s="28"/>
    </row>
    <row r="623" spans="1:22" ht="15" customHeight="1">
      <c r="A623" s="31"/>
      <c r="B623" s="3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3"/>
      <c r="T623" s="31"/>
      <c r="U623" s="32"/>
      <c r="V623" s="31"/>
    </row>
    <row r="624" spans="1:22" ht="1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30"/>
      <c r="T624" s="28"/>
      <c r="U624" s="29"/>
      <c r="V624" s="28"/>
    </row>
    <row r="625" spans="1:22" ht="15" customHeight="1">
      <c r="A625" s="31"/>
      <c r="B625" s="3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3"/>
      <c r="T625" s="31"/>
      <c r="U625" s="32"/>
      <c r="V625" s="31"/>
    </row>
    <row r="626" spans="1:22" ht="1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30"/>
      <c r="T626" s="28"/>
      <c r="U626" s="29"/>
      <c r="V626" s="28"/>
    </row>
    <row r="627" spans="1:22" ht="15" customHeight="1">
      <c r="A627" s="31"/>
      <c r="B627" s="3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3"/>
      <c r="T627" s="31"/>
      <c r="U627" s="32"/>
      <c r="V627" s="31"/>
    </row>
    <row r="628" spans="1:22" ht="1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30"/>
      <c r="T628" s="28"/>
      <c r="U628" s="29"/>
      <c r="V628" s="28"/>
    </row>
    <row r="629" spans="1:22" ht="15" customHeight="1">
      <c r="A629" s="31"/>
      <c r="B629" s="3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3"/>
      <c r="T629" s="31"/>
      <c r="U629" s="32"/>
      <c r="V629" s="31"/>
    </row>
    <row r="630" spans="1:22" ht="1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30"/>
      <c r="T630" s="28"/>
      <c r="U630" s="29"/>
      <c r="V630" s="28"/>
    </row>
    <row r="631" spans="1:22" ht="15" customHeight="1">
      <c r="A631" s="31"/>
      <c r="B631" s="3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3"/>
      <c r="T631" s="31"/>
      <c r="U631" s="32"/>
      <c r="V631" s="31"/>
    </row>
    <row r="632" spans="1:22" ht="1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30"/>
      <c r="T632" s="28"/>
      <c r="U632" s="29"/>
      <c r="V632" s="28"/>
    </row>
    <row r="633" spans="1:22" ht="15" customHeight="1">
      <c r="A633" s="31"/>
      <c r="B633" s="3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3"/>
      <c r="T633" s="31"/>
      <c r="U633" s="32"/>
      <c r="V633" s="31"/>
    </row>
    <row r="634" spans="1:22" ht="1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30"/>
      <c r="T634" s="28"/>
      <c r="U634" s="29"/>
      <c r="V634" s="28"/>
    </row>
    <row r="635" spans="1:22" ht="15" customHeight="1">
      <c r="A635" s="31"/>
      <c r="B635" s="3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3"/>
      <c r="T635" s="31"/>
      <c r="U635" s="32"/>
      <c r="V635" s="31"/>
    </row>
    <row r="636" spans="1:22" ht="1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30"/>
      <c r="T636" s="28"/>
      <c r="U636" s="29"/>
      <c r="V636" s="28"/>
    </row>
    <row r="637" spans="1:22" ht="15" customHeight="1">
      <c r="A637" s="31"/>
      <c r="B637" s="3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3"/>
      <c r="T637" s="31"/>
      <c r="U637" s="32"/>
      <c r="V637" s="31"/>
    </row>
    <row r="638" spans="1:22" ht="1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30"/>
      <c r="T638" s="28"/>
      <c r="U638" s="29"/>
      <c r="V638" s="28"/>
    </row>
    <row r="639" spans="1:22" ht="15" customHeight="1">
      <c r="A639" s="31"/>
      <c r="B639" s="3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3"/>
      <c r="T639" s="31"/>
      <c r="U639" s="32"/>
      <c r="V639" s="31"/>
    </row>
    <row r="640" spans="1:22" ht="1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30"/>
      <c r="T640" s="28"/>
      <c r="U640" s="29"/>
      <c r="V640" s="28"/>
    </row>
    <row r="641" spans="1:22" ht="15" customHeight="1">
      <c r="A641" s="31"/>
      <c r="B641" s="3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3"/>
      <c r="T641" s="31"/>
      <c r="U641" s="32"/>
      <c r="V641" s="31"/>
    </row>
    <row r="642" spans="1:22" ht="1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30"/>
      <c r="T642" s="28"/>
      <c r="U642" s="29"/>
      <c r="V642" s="28"/>
    </row>
    <row r="643" spans="1:22" ht="15" customHeight="1">
      <c r="A643" s="31"/>
      <c r="B643" s="3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3"/>
      <c r="T643" s="31"/>
      <c r="U643" s="32"/>
      <c r="V643" s="31"/>
    </row>
    <row r="644" spans="1:22" ht="1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30"/>
      <c r="T644" s="28"/>
      <c r="U644" s="29"/>
      <c r="V644" s="28"/>
    </row>
    <row r="645" spans="1:22" ht="15" customHeight="1">
      <c r="A645" s="31"/>
      <c r="B645" s="3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3"/>
      <c r="T645" s="31"/>
      <c r="U645" s="32"/>
      <c r="V645" s="31"/>
    </row>
    <row r="646" spans="1:22" ht="1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30"/>
      <c r="T646" s="28"/>
      <c r="U646" s="29"/>
      <c r="V646" s="28"/>
    </row>
    <row r="647" spans="1:22" ht="15" customHeight="1">
      <c r="A647" s="31"/>
      <c r="B647" s="3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3"/>
      <c r="T647" s="31"/>
      <c r="U647" s="32"/>
      <c r="V647" s="31"/>
    </row>
    <row r="648" spans="1:22" ht="1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30"/>
      <c r="T648" s="28"/>
      <c r="U648" s="29"/>
      <c r="V648" s="28"/>
    </row>
    <row r="649" spans="1:22" ht="15" customHeight="1">
      <c r="A649" s="31"/>
      <c r="B649" s="3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3"/>
      <c r="T649" s="31"/>
      <c r="U649" s="32"/>
      <c r="V649" s="31"/>
    </row>
    <row r="650" spans="1:22" ht="1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30"/>
      <c r="T650" s="28"/>
      <c r="U650" s="29"/>
      <c r="V650" s="28"/>
    </row>
    <row r="651" spans="1:22" ht="15" customHeight="1">
      <c r="A651" s="31"/>
      <c r="B651" s="3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3"/>
      <c r="T651" s="31"/>
      <c r="U651" s="32"/>
      <c r="V651" s="31"/>
    </row>
    <row r="652" spans="1:22" ht="1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30"/>
      <c r="T652" s="28"/>
      <c r="U652" s="29"/>
      <c r="V652" s="28"/>
    </row>
    <row r="653" spans="1:22" ht="15" customHeight="1">
      <c r="A653" s="31"/>
      <c r="B653" s="3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3"/>
      <c r="T653" s="31"/>
      <c r="U653" s="32"/>
      <c r="V653" s="31"/>
    </row>
    <row r="654" spans="1:22" ht="1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30"/>
      <c r="T654" s="28"/>
      <c r="U654" s="29"/>
      <c r="V654" s="28"/>
    </row>
    <row r="655" spans="1:22" ht="15" customHeight="1">
      <c r="A655" s="31"/>
      <c r="B655" s="3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3"/>
      <c r="T655" s="31"/>
      <c r="U655" s="32"/>
      <c r="V655" s="31"/>
    </row>
    <row r="656" spans="1:22" ht="1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30"/>
      <c r="T656" s="28"/>
      <c r="U656" s="29"/>
      <c r="V656" s="28"/>
    </row>
    <row r="657" spans="1:22" ht="15" customHeight="1">
      <c r="A657" s="31"/>
      <c r="B657" s="3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3"/>
      <c r="T657" s="31"/>
      <c r="U657" s="32"/>
      <c r="V657" s="31"/>
    </row>
    <row r="658" spans="1:22" ht="1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30"/>
      <c r="T658" s="28"/>
      <c r="U658" s="29"/>
      <c r="V658" s="28"/>
    </row>
    <row r="659" spans="1:22" ht="15" customHeight="1">
      <c r="A659" s="31"/>
      <c r="B659" s="3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3"/>
      <c r="T659" s="31"/>
      <c r="U659" s="32"/>
      <c r="V659" s="31"/>
    </row>
    <row r="660" spans="1:22" ht="1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30"/>
      <c r="T660" s="28"/>
      <c r="U660" s="29"/>
      <c r="V660" s="28"/>
    </row>
    <row r="661" spans="1:22" ht="15" customHeight="1">
      <c r="A661" s="31"/>
      <c r="B661" s="3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3"/>
      <c r="T661" s="31"/>
      <c r="U661" s="32"/>
      <c r="V661" s="31"/>
    </row>
    <row r="662" spans="1:22" ht="1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30"/>
      <c r="T662" s="28"/>
      <c r="U662" s="29"/>
      <c r="V662" s="28"/>
    </row>
    <row r="663" spans="1:22" ht="15" customHeight="1">
      <c r="A663" s="31"/>
      <c r="B663" s="3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3"/>
      <c r="T663" s="31"/>
      <c r="U663" s="32"/>
      <c r="V663" s="31"/>
    </row>
    <row r="664" spans="1:22" ht="1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30"/>
      <c r="T664" s="28"/>
      <c r="U664" s="29"/>
      <c r="V664" s="28"/>
    </row>
    <row r="665" spans="1:22" ht="15" customHeight="1">
      <c r="A665" s="31"/>
      <c r="B665" s="3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3"/>
      <c r="T665" s="31"/>
      <c r="U665" s="32"/>
      <c r="V665" s="31"/>
    </row>
    <row r="666" spans="1:22" ht="1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30"/>
      <c r="T666" s="28"/>
      <c r="U666" s="29"/>
      <c r="V666" s="28"/>
    </row>
    <row r="667" spans="1:22" ht="15" customHeight="1">
      <c r="A667" s="31"/>
      <c r="B667" s="3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3"/>
      <c r="T667" s="31"/>
      <c r="U667" s="32"/>
      <c r="V667" s="31"/>
    </row>
    <row r="668" spans="1:22" ht="1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30"/>
      <c r="T668" s="28"/>
      <c r="U668" s="29"/>
      <c r="V668" s="28"/>
    </row>
    <row r="669" spans="1:22" ht="15" customHeight="1">
      <c r="A669" s="31"/>
      <c r="B669" s="3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3"/>
      <c r="T669" s="31"/>
      <c r="U669" s="32"/>
      <c r="V669" s="31"/>
    </row>
    <row r="670" spans="1:22" ht="1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30"/>
      <c r="T670" s="28"/>
      <c r="U670" s="29"/>
      <c r="V670" s="28"/>
    </row>
    <row r="671" spans="1:22" ht="15" customHeight="1">
      <c r="A671" s="31"/>
      <c r="B671" s="3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3"/>
      <c r="T671" s="31"/>
      <c r="U671" s="32"/>
      <c r="V671" s="31"/>
    </row>
    <row r="672" spans="1:22" ht="1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30"/>
      <c r="T672" s="28"/>
      <c r="U672" s="29"/>
      <c r="V672" s="28"/>
    </row>
    <row r="673" spans="1:22" ht="15" customHeight="1">
      <c r="A673" s="31"/>
      <c r="B673" s="3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3"/>
      <c r="T673" s="31"/>
      <c r="U673" s="32"/>
      <c r="V673" s="31"/>
    </row>
    <row r="674" spans="1:22" ht="1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30"/>
      <c r="T674" s="28"/>
      <c r="U674" s="29"/>
      <c r="V674" s="28"/>
    </row>
    <row r="675" spans="1:22" ht="15" customHeight="1">
      <c r="A675" s="31"/>
      <c r="B675" s="3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3"/>
      <c r="T675" s="31"/>
      <c r="U675" s="32"/>
      <c r="V675" s="31"/>
    </row>
    <row r="676" spans="1:22" ht="1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30"/>
      <c r="T676" s="28"/>
      <c r="U676" s="29"/>
      <c r="V676" s="28"/>
    </row>
    <row r="677" spans="1:22" ht="15" customHeight="1">
      <c r="A677" s="31"/>
      <c r="B677" s="3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3"/>
      <c r="T677" s="31"/>
      <c r="U677" s="32"/>
      <c r="V677" s="31"/>
    </row>
    <row r="678" spans="1:22" ht="1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30"/>
      <c r="T678" s="28"/>
      <c r="U678" s="29"/>
      <c r="V678" s="28"/>
    </row>
    <row r="679" spans="1:22" ht="15" customHeight="1">
      <c r="A679" s="31"/>
      <c r="B679" s="3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3"/>
      <c r="T679" s="31"/>
      <c r="U679" s="32"/>
      <c r="V679" s="31"/>
    </row>
    <row r="680" spans="1:22" ht="1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30"/>
      <c r="T680" s="28"/>
      <c r="U680" s="29"/>
      <c r="V680" s="28"/>
    </row>
    <row r="681" spans="1:22" ht="15" customHeight="1">
      <c r="A681" s="31"/>
      <c r="B681" s="3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3"/>
      <c r="T681" s="31"/>
      <c r="U681" s="32"/>
      <c r="V681" s="31"/>
    </row>
    <row r="682" spans="1:22" ht="1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30"/>
      <c r="T682" s="28"/>
      <c r="U682" s="29"/>
      <c r="V682" s="28"/>
    </row>
    <row r="683" spans="1:22" ht="15" customHeight="1">
      <c r="A683" s="31"/>
      <c r="B683" s="3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3"/>
      <c r="T683" s="31"/>
      <c r="U683" s="32"/>
      <c r="V683" s="31"/>
    </row>
    <row r="684" spans="1:22" ht="1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30"/>
      <c r="T684" s="28"/>
      <c r="U684" s="29"/>
      <c r="V684" s="28"/>
    </row>
    <row r="685" spans="1:22" ht="15" customHeight="1">
      <c r="A685" s="31"/>
      <c r="B685" s="3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3"/>
      <c r="T685" s="31"/>
      <c r="U685" s="32"/>
      <c r="V685" s="31"/>
    </row>
    <row r="686" spans="1:22" ht="1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30"/>
      <c r="T686" s="28"/>
      <c r="U686" s="29"/>
      <c r="V686" s="28"/>
    </row>
    <row r="687" spans="1:22" ht="15" customHeight="1">
      <c r="A687" s="31"/>
      <c r="B687" s="3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3"/>
      <c r="T687" s="31"/>
      <c r="U687" s="32"/>
      <c r="V687" s="31"/>
    </row>
    <row r="688" spans="1:22" ht="1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30"/>
      <c r="T688" s="28"/>
      <c r="U688" s="29"/>
      <c r="V688" s="28"/>
    </row>
    <row r="689" spans="1:22" ht="15" customHeight="1">
      <c r="A689" s="31"/>
      <c r="B689" s="3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3"/>
      <c r="T689" s="31"/>
      <c r="U689" s="32"/>
      <c r="V689" s="31"/>
    </row>
    <row r="690" spans="1:22" ht="1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30"/>
      <c r="T690" s="28"/>
      <c r="U690" s="29"/>
      <c r="V690" s="28"/>
    </row>
    <row r="691" spans="1:22" ht="15" customHeight="1">
      <c r="A691" s="31"/>
      <c r="B691" s="3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3"/>
      <c r="T691" s="31"/>
      <c r="U691" s="32"/>
      <c r="V691" s="31"/>
    </row>
    <row r="692" spans="1:22" ht="1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30"/>
      <c r="T692" s="28"/>
      <c r="U692" s="29"/>
      <c r="V692" s="28"/>
    </row>
    <row r="693" spans="1:22" ht="15" customHeight="1">
      <c r="A693" s="31"/>
      <c r="B693" s="3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3"/>
      <c r="T693" s="31"/>
      <c r="U693" s="32"/>
      <c r="V693" s="31"/>
    </row>
    <row r="694" spans="1:22" ht="1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30"/>
      <c r="T694" s="28"/>
      <c r="U694" s="29"/>
      <c r="V694" s="28"/>
    </row>
    <row r="695" spans="1:22" ht="15" customHeight="1">
      <c r="A695" s="31"/>
      <c r="B695" s="3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3"/>
      <c r="T695" s="31"/>
      <c r="U695" s="32"/>
      <c r="V695" s="31"/>
    </row>
    <row r="696" spans="1:22" ht="1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30"/>
      <c r="T696" s="28"/>
      <c r="U696" s="29"/>
      <c r="V696" s="28"/>
    </row>
    <row r="697" spans="1:22" ht="15" customHeight="1">
      <c r="A697" s="31"/>
      <c r="B697" s="3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3"/>
      <c r="T697" s="31"/>
      <c r="U697" s="32"/>
      <c r="V697" s="31"/>
    </row>
    <row r="698" spans="1:22" ht="1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30"/>
      <c r="T698" s="28"/>
      <c r="U698" s="29"/>
      <c r="V698" s="28"/>
    </row>
    <row r="699" spans="1:22" ht="15" customHeight="1">
      <c r="A699" s="31"/>
      <c r="B699" s="3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3"/>
      <c r="T699" s="31"/>
      <c r="U699" s="32"/>
      <c r="V699" s="31"/>
    </row>
    <row r="700" spans="1:22" ht="1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30"/>
      <c r="T700" s="28"/>
      <c r="U700" s="29"/>
      <c r="V700" s="28"/>
    </row>
    <row r="701" spans="1:22" ht="15" customHeight="1">
      <c r="A701" s="31"/>
      <c r="B701" s="3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3"/>
      <c r="T701" s="31"/>
      <c r="U701" s="32"/>
      <c r="V701" s="31"/>
    </row>
    <row r="702" spans="1:22" ht="1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30"/>
      <c r="T702" s="28"/>
      <c r="U702" s="29"/>
      <c r="V702" s="28"/>
    </row>
    <row r="703" spans="1:22" ht="15" customHeight="1">
      <c r="A703" s="31"/>
      <c r="B703" s="3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3"/>
      <c r="T703" s="31"/>
      <c r="U703" s="32"/>
      <c r="V703" s="31"/>
    </row>
    <row r="704" spans="1:22" ht="1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30"/>
      <c r="T704" s="28"/>
      <c r="U704" s="29"/>
      <c r="V704" s="28"/>
    </row>
    <row r="705" spans="1:22" ht="15" customHeight="1">
      <c r="A705" s="31"/>
      <c r="B705" s="3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3"/>
      <c r="T705" s="31"/>
      <c r="U705" s="32"/>
      <c r="V705" s="31"/>
    </row>
    <row r="706" spans="1:22" ht="1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30"/>
      <c r="T706" s="28"/>
      <c r="U706" s="29"/>
      <c r="V706" s="28"/>
    </row>
    <row r="707" spans="1:22" ht="15" customHeight="1">
      <c r="A707" s="31"/>
      <c r="B707" s="3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3"/>
      <c r="T707" s="31"/>
      <c r="U707" s="32"/>
      <c r="V707" s="31"/>
    </row>
    <row r="708" spans="1:22" ht="1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30"/>
      <c r="T708" s="28"/>
      <c r="U708" s="29"/>
      <c r="V708" s="28"/>
    </row>
    <row r="709" spans="1:22" ht="15" customHeight="1">
      <c r="A709" s="31"/>
      <c r="B709" s="3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3"/>
      <c r="T709" s="31"/>
      <c r="U709" s="32"/>
      <c r="V709" s="31"/>
    </row>
    <row r="710" spans="1:22" ht="1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30"/>
      <c r="T710" s="28"/>
      <c r="U710" s="29"/>
      <c r="V710" s="28"/>
    </row>
    <row r="711" spans="1:22" ht="15" customHeight="1">
      <c r="A711" s="31"/>
      <c r="B711" s="3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3"/>
      <c r="T711" s="31"/>
      <c r="U711" s="32"/>
      <c r="V711" s="31"/>
    </row>
    <row r="712" spans="1:22" ht="1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30"/>
      <c r="T712" s="28"/>
      <c r="U712" s="29"/>
      <c r="V712" s="28"/>
    </row>
    <row r="713" spans="1:22" ht="15" customHeight="1">
      <c r="A713" s="31"/>
      <c r="B713" s="3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3"/>
      <c r="T713" s="31"/>
      <c r="U713" s="32"/>
      <c r="V713" s="31"/>
    </row>
    <row r="714" spans="1:22" ht="1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30"/>
      <c r="T714" s="28"/>
      <c r="U714" s="29"/>
      <c r="V714" s="28"/>
    </row>
    <row r="715" spans="1:22" ht="15" customHeight="1">
      <c r="A715" s="31"/>
      <c r="B715" s="3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3"/>
      <c r="T715" s="31"/>
      <c r="U715" s="32"/>
      <c r="V715" s="31"/>
    </row>
    <row r="716" spans="1:22" ht="1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30"/>
      <c r="T716" s="28"/>
      <c r="U716" s="29"/>
      <c r="V716" s="28"/>
    </row>
    <row r="717" spans="1:22" ht="15" customHeight="1">
      <c r="A717" s="31"/>
      <c r="B717" s="3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3"/>
      <c r="T717" s="31"/>
      <c r="U717" s="32"/>
      <c r="V717" s="31"/>
    </row>
    <row r="718" spans="1:22" ht="1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30"/>
      <c r="T718" s="28"/>
      <c r="U718" s="29"/>
      <c r="V718" s="28"/>
    </row>
    <row r="719" spans="1:22" ht="15" customHeight="1">
      <c r="A719" s="31"/>
      <c r="B719" s="3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3"/>
      <c r="T719" s="31"/>
      <c r="U719" s="32"/>
      <c r="V719" s="31"/>
    </row>
    <row r="720" spans="1:22" ht="1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30"/>
      <c r="T720" s="28"/>
      <c r="U720" s="29"/>
      <c r="V720" s="28"/>
    </row>
    <row r="721" spans="1:22" ht="15" customHeight="1">
      <c r="A721" s="31"/>
      <c r="B721" s="3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3"/>
      <c r="T721" s="31"/>
      <c r="U721" s="32"/>
      <c r="V721" s="31"/>
    </row>
    <row r="722" spans="1:22" ht="1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30"/>
      <c r="T722" s="28"/>
      <c r="U722" s="29"/>
      <c r="V722" s="28"/>
    </row>
    <row r="723" spans="1:22" ht="15" customHeight="1">
      <c r="A723" s="31"/>
      <c r="B723" s="3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3"/>
      <c r="T723" s="31"/>
      <c r="U723" s="32"/>
      <c r="V723" s="31"/>
    </row>
    <row r="724" spans="1:22" ht="1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30"/>
      <c r="T724" s="28"/>
      <c r="U724" s="29"/>
      <c r="V724" s="28"/>
    </row>
    <row r="725" spans="1:22" ht="15" customHeight="1">
      <c r="A725" s="31"/>
      <c r="B725" s="3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3"/>
      <c r="T725" s="31"/>
      <c r="U725" s="32"/>
      <c r="V725" s="31"/>
    </row>
    <row r="726" spans="1:22" ht="1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30"/>
      <c r="T726" s="28"/>
      <c r="U726" s="29"/>
      <c r="V726" s="28"/>
    </row>
    <row r="727" spans="1:22" ht="15" customHeight="1">
      <c r="A727" s="31"/>
      <c r="B727" s="3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3"/>
      <c r="T727" s="31"/>
      <c r="U727" s="32"/>
      <c r="V727" s="31"/>
    </row>
    <row r="728" spans="1:22" ht="1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30"/>
      <c r="T728" s="28"/>
      <c r="U728" s="29"/>
      <c r="V728" s="28"/>
    </row>
    <row r="729" spans="1:22" ht="15" customHeight="1">
      <c r="A729" s="31"/>
      <c r="B729" s="3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3"/>
      <c r="T729" s="31"/>
      <c r="U729" s="32"/>
      <c r="V729" s="31"/>
    </row>
    <row r="730" spans="1:22" ht="1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30"/>
      <c r="T730" s="28"/>
      <c r="U730" s="29"/>
      <c r="V730" s="28"/>
    </row>
    <row r="731" spans="1:22" ht="15" customHeight="1">
      <c r="A731" s="31"/>
      <c r="B731" s="3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3"/>
      <c r="T731" s="31"/>
      <c r="U731" s="32"/>
      <c r="V731" s="31"/>
    </row>
    <row r="732" spans="1:22" ht="1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30"/>
      <c r="T732" s="28"/>
      <c r="U732" s="29"/>
      <c r="V732" s="28"/>
    </row>
    <row r="733" spans="1:22" ht="15" customHeight="1">
      <c r="A733" s="31"/>
      <c r="B733" s="3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3"/>
      <c r="T733" s="31"/>
      <c r="U733" s="32"/>
      <c r="V733" s="31"/>
    </row>
    <row r="734" spans="1:22" ht="1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30"/>
      <c r="T734" s="28"/>
      <c r="U734" s="29"/>
      <c r="V734" s="28"/>
    </row>
    <row r="735" spans="1:22" ht="15" customHeight="1">
      <c r="A735" s="31"/>
      <c r="B735" s="3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3"/>
      <c r="T735" s="31"/>
      <c r="U735" s="32"/>
      <c r="V735" s="31"/>
    </row>
    <row r="736" spans="1:22" ht="1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30"/>
      <c r="T736" s="28"/>
      <c r="U736" s="29"/>
      <c r="V736" s="28"/>
    </row>
    <row r="737" spans="1:22" ht="15" customHeight="1">
      <c r="A737" s="31"/>
      <c r="B737" s="3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3"/>
      <c r="T737" s="31"/>
      <c r="U737" s="32"/>
      <c r="V737" s="31"/>
    </row>
    <row r="738" spans="1:22" ht="1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30"/>
      <c r="T738" s="28"/>
      <c r="U738" s="29"/>
      <c r="V738" s="28"/>
    </row>
    <row r="739" spans="1:22" ht="15" customHeight="1">
      <c r="A739" s="31"/>
      <c r="B739" s="3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3"/>
      <c r="T739" s="31"/>
      <c r="U739" s="32"/>
      <c r="V739" s="31"/>
    </row>
    <row r="740" spans="1:22" ht="1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30"/>
      <c r="T740" s="28"/>
      <c r="U740" s="29"/>
      <c r="V740" s="28"/>
    </row>
    <row r="741" spans="1:22" ht="15" customHeight="1">
      <c r="A741" s="31"/>
      <c r="B741" s="3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3"/>
      <c r="T741" s="31"/>
      <c r="U741" s="32"/>
      <c r="V741" s="31"/>
    </row>
    <row r="742" spans="1:22" ht="1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30"/>
      <c r="T742" s="28"/>
      <c r="U742" s="29"/>
      <c r="V742" s="28"/>
    </row>
    <row r="743" spans="1:22" ht="15" customHeight="1">
      <c r="A743" s="31"/>
      <c r="B743" s="3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3"/>
      <c r="T743" s="31"/>
      <c r="U743" s="32"/>
      <c r="V743" s="31"/>
    </row>
    <row r="744" spans="1:22" ht="1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30"/>
      <c r="T744" s="28"/>
      <c r="U744" s="29"/>
      <c r="V744" s="28"/>
    </row>
    <row r="745" spans="1:22" ht="15" customHeight="1">
      <c r="A745" s="31"/>
      <c r="B745" s="3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3"/>
      <c r="T745" s="31"/>
      <c r="U745" s="32"/>
      <c r="V745" s="31"/>
    </row>
    <row r="746" spans="1:22" ht="1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30"/>
      <c r="T746" s="28"/>
      <c r="U746" s="29"/>
      <c r="V746" s="28"/>
    </row>
    <row r="747" spans="1:22" ht="15" customHeight="1">
      <c r="A747" s="31"/>
      <c r="B747" s="3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3"/>
      <c r="T747" s="31"/>
      <c r="U747" s="32"/>
      <c r="V747" s="31"/>
    </row>
    <row r="748" spans="1:22" ht="1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30"/>
      <c r="T748" s="28"/>
      <c r="U748" s="29"/>
      <c r="V748" s="28"/>
    </row>
    <row r="749" spans="1:22" ht="15" customHeight="1">
      <c r="A749" s="31"/>
      <c r="B749" s="3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3"/>
      <c r="T749" s="31"/>
      <c r="U749" s="32"/>
      <c r="V749" s="31"/>
    </row>
    <row r="750" spans="1:22" ht="1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30"/>
      <c r="T750" s="28"/>
      <c r="U750" s="29"/>
      <c r="V750" s="28"/>
    </row>
    <row r="751" spans="1:22" ht="15" customHeight="1">
      <c r="A751" s="31"/>
      <c r="B751" s="3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3"/>
      <c r="T751" s="31"/>
      <c r="U751" s="32"/>
      <c r="V751" s="31"/>
    </row>
    <row r="752" spans="1:22" ht="1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30"/>
      <c r="T752" s="28"/>
      <c r="U752" s="29"/>
      <c r="V752" s="28"/>
    </row>
    <row r="753" spans="1:22" ht="15" customHeight="1">
      <c r="A753" s="31"/>
      <c r="B753" s="3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3"/>
      <c r="T753" s="31"/>
      <c r="U753" s="32"/>
      <c r="V753" s="31"/>
    </row>
    <row r="754" spans="1:22" ht="1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30"/>
      <c r="T754" s="28"/>
      <c r="U754" s="29"/>
      <c r="V754" s="28"/>
    </row>
    <row r="755" spans="1:22" ht="15" customHeight="1">
      <c r="A755" s="31"/>
      <c r="B755" s="3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3"/>
      <c r="T755" s="31"/>
      <c r="U755" s="32"/>
      <c r="V755" s="31"/>
    </row>
    <row r="756" spans="1:22" ht="1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30"/>
      <c r="T756" s="28"/>
      <c r="U756" s="29"/>
      <c r="V756" s="28"/>
    </row>
    <row r="757" spans="1:22" ht="15" customHeight="1">
      <c r="A757" s="31"/>
      <c r="B757" s="3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3"/>
      <c r="T757" s="31"/>
      <c r="U757" s="32"/>
      <c r="V757" s="31"/>
    </row>
    <row r="758" spans="1:22" ht="1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30"/>
      <c r="T758" s="28"/>
      <c r="U758" s="29"/>
      <c r="V758" s="28"/>
    </row>
    <row r="759" spans="1:22" ht="15" customHeight="1">
      <c r="A759" s="31"/>
      <c r="B759" s="3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3"/>
      <c r="T759" s="31"/>
      <c r="U759" s="32"/>
      <c r="V759" s="31"/>
    </row>
    <row r="760" spans="1:22" ht="1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30"/>
      <c r="T760" s="28"/>
      <c r="U760" s="29"/>
      <c r="V760" s="28"/>
    </row>
    <row r="761" spans="1:22" ht="15" customHeight="1">
      <c r="A761" s="31"/>
      <c r="B761" s="3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3"/>
      <c r="T761" s="31"/>
      <c r="U761" s="32"/>
      <c r="V761" s="31"/>
    </row>
    <row r="762" spans="1:22" ht="1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30"/>
      <c r="T762" s="28"/>
      <c r="U762" s="29"/>
      <c r="V762" s="28"/>
    </row>
    <row r="763" spans="1:22" ht="15" customHeight="1">
      <c r="A763" s="31"/>
      <c r="B763" s="3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3"/>
      <c r="T763" s="31"/>
      <c r="U763" s="32"/>
      <c r="V763" s="31"/>
    </row>
    <row r="764" spans="1:22" ht="1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30"/>
      <c r="T764" s="28"/>
      <c r="U764" s="29"/>
      <c r="V764" s="28"/>
    </row>
    <row r="765" spans="1:22" ht="15" customHeight="1">
      <c r="A765" s="31"/>
      <c r="B765" s="3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3"/>
      <c r="T765" s="31"/>
      <c r="U765" s="32"/>
      <c r="V765" s="31"/>
    </row>
    <row r="766" spans="1:22" ht="1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30"/>
      <c r="T766" s="28"/>
      <c r="U766" s="29"/>
      <c r="V766" s="28"/>
    </row>
    <row r="767" spans="1:22" ht="15" customHeight="1">
      <c r="A767" s="31"/>
      <c r="B767" s="3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3"/>
      <c r="T767" s="31"/>
      <c r="U767" s="32"/>
      <c r="V767" s="31"/>
    </row>
    <row r="768" spans="1:22" ht="1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30"/>
      <c r="T768" s="28"/>
      <c r="U768" s="29"/>
      <c r="V768" s="28"/>
    </row>
    <row r="769" spans="1:22" ht="15" customHeight="1">
      <c r="A769" s="31"/>
      <c r="B769" s="3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3"/>
      <c r="T769" s="31"/>
      <c r="U769" s="32"/>
      <c r="V769" s="31"/>
    </row>
    <row r="770" spans="1:22" ht="1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30"/>
      <c r="T770" s="28"/>
      <c r="U770" s="29"/>
      <c r="V770" s="28"/>
    </row>
    <row r="771" spans="1:22" ht="15" customHeight="1">
      <c r="A771" s="31"/>
      <c r="B771" s="3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3"/>
      <c r="T771" s="31"/>
      <c r="U771" s="32"/>
      <c r="V771" s="31"/>
    </row>
    <row r="772" spans="1:22" ht="1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30"/>
      <c r="T772" s="28"/>
      <c r="U772" s="29"/>
      <c r="V772" s="28"/>
    </row>
    <row r="773" spans="1:22" ht="15" customHeight="1">
      <c r="A773" s="31"/>
      <c r="B773" s="3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3"/>
      <c r="T773" s="31"/>
      <c r="U773" s="32"/>
      <c r="V773" s="31"/>
    </row>
    <row r="774" spans="1:22" ht="1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30"/>
      <c r="T774" s="28"/>
      <c r="U774" s="29"/>
      <c r="V774" s="28"/>
    </row>
    <row r="775" spans="1:22" ht="15" customHeight="1">
      <c r="A775" s="31"/>
      <c r="B775" s="3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3"/>
      <c r="T775" s="31"/>
      <c r="U775" s="32"/>
      <c r="V775" s="31"/>
    </row>
    <row r="776" spans="1:22" ht="1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30"/>
      <c r="T776" s="28"/>
      <c r="U776" s="29"/>
      <c r="V776" s="28"/>
    </row>
    <row r="777" spans="1:22" ht="15" customHeight="1">
      <c r="A777" s="31"/>
      <c r="B777" s="3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3"/>
      <c r="T777" s="31"/>
      <c r="U777" s="32"/>
      <c r="V777" s="31"/>
    </row>
    <row r="778" spans="1:22" ht="1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30"/>
      <c r="T778" s="28"/>
      <c r="U778" s="29"/>
      <c r="V778" s="28"/>
    </row>
    <row r="779" spans="1:22" ht="15" customHeight="1">
      <c r="A779" s="31"/>
      <c r="B779" s="3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3"/>
      <c r="T779" s="31"/>
      <c r="U779" s="32"/>
      <c r="V779" s="31"/>
    </row>
    <row r="780" spans="1:22" ht="1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30"/>
      <c r="T780" s="28"/>
      <c r="U780" s="29"/>
      <c r="V780" s="28"/>
    </row>
    <row r="781" spans="1:22" ht="15" customHeight="1">
      <c r="A781" s="31"/>
      <c r="B781" s="3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3"/>
      <c r="T781" s="31"/>
      <c r="U781" s="32"/>
      <c r="V781" s="31"/>
    </row>
    <row r="782" spans="1:22" ht="1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30"/>
      <c r="T782" s="28"/>
      <c r="U782" s="29"/>
      <c r="V782" s="28"/>
    </row>
    <row r="783" spans="1:22" ht="15" customHeight="1">
      <c r="A783" s="31"/>
      <c r="B783" s="3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3"/>
      <c r="T783" s="31"/>
      <c r="U783" s="32"/>
      <c r="V783" s="31"/>
    </row>
    <row r="784" spans="1:22" ht="1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30"/>
      <c r="T784" s="28"/>
      <c r="U784" s="29"/>
      <c r="V784" s="28"/>
    </row>
    <row r="785" spans="1:22" ht="15" customHeight="1">
      <c r="A785" s="31"/>
      <c r="B785" s="3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3"/>
      <c r="T785" s="31"/>
      <c r="U785" s="32"/>
      <c r="V785" s="31"/>
    </row>
    <row r="786" spans="1:22" ht="1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30"/>
      <c r="T786" s="28"/>
      <c r="U786" s="29"/>
      <c r="V786" s="28"/>
    </row>
    <row r="787" spans="1:22" ht="15" customHeight="1">
      <c r="A787" s="31"/>
      <c r="B787" s="3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3"/>
      <c r="T787" s="31"/>
      <c r="U787" s="32"/>
      <c r="V787" s="31"/>
    </row>
    <row r="788" spans="1:22" ht="1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30"/>
      <c r="T788" s="28"/>
      <c r="U788" s="29"/>
      <c r="V788" s="28"/>
    </row>
    <row r="789" spans="1:22" ht="15" customHeight="1">
      <c r="A789" s="31"/>
      <c r="B789" s="3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3"/>
      <c r="T789" s="31"/>
      <c r="U789" s="32"/>
      <c r="V789" s="31"/>
    </row>
    <row r="790" spans="1:22" ht="1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30"/>
      <c r="T790" s="28"/>
      <c r="U790" s="29"/>
      <c r="V790" s="28"/>
    </row>
    <row r="791" spans="1:22" ht="15" customHeight="1">
      <c r="A791" s="31"/>
      <c r="B791" s="3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3"/>
      <c r="T791" s="31"/>
      <c r="U791" s="32"/>
      <c r="V791" s="31"/>
    </row>
    <row r="792" spans="1:22" ht="1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30"/>
      <c r="T792" s="28"/>
      <c r="U792" s="29"/>
      <c r="V792" s="28"/>
    </row>
    <row r="793" spans="1:22" ht="15" customHeight="1">
      <c r="A793" s="31"/>
      <c r="B793" s="3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3"/>
      <c r="T793" s="31"/>
      <c r="U793" s="32"/>
      <c r="V793" s="31"/>
    </row>
    <row r="794" spans="1:22" ht="1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30"/>
      <c r="T794" s="28"/>
      <c r="U794" s="29"/>
      <c r="V794" s="28"/>
    </row>
    <row r="795" spans="1:22" ht="15" customHeight="1">
      <c r="A795" s="31"/>
      <c r="B795" s="3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3"/>
      <c r="T795" s="31"/>
      <c r="U795" s="32"/>
      <c r="V795" s="31"/>
    </row>
    <row r="796" spans="1:22" ht="1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30"/>
      <c r="T796" s="28"/>
      <c r="U796" s="29"/>
      <c r="V796" s="28"/>
    </row>
    <row r="797" spans="1:22" ht="15" customHeight="1">
      <c r="A797" s="31"/>
      <c r="B797" s="3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3"/>
      <c r="T797" s="31"/>
      <c r="U797" s="32"/>
      <c r="V797" s="31"/>
    </row>
    <row r="798" spans="1:22" ht="1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30"/>
      <c r="T798" s="28"/>
      <c r="U798" s="29"/>
      <c r="V798" s="28"/>
    </row>
    <row r="799" spans="1:22" ht="15" customHeight="1">
      <c r="A799" s="31"/>
      <c r="B799" s="3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3"/>
      <c r="T799" s="31"/>
      <c r="U799" s="32"/>
      <c r="V799" s="31"/>
    </row>
    <row r="800" spans="1:22" ht="1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30"/>
      <c r="T800" s="28"/>
      <c r="U800" s="29"/>
      <c r="V800" s="28"/>
    </row>
    <row r="801" spans="1:22" ht="15" customHeight="1">
      <c r="A801" s="31"/>
      <c r="B801" s="3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3"/>
      <c r="T801" s="31"/>
      <c r="U801" s="32"/>
      <c r="V801" s="31"/>
    </row>
    <row r="802" spans="1:22" ht="1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30"/>
      <c r="T802" s="28"/>
      <c r="U802" s="29"/>
      <c r="V802" s="28"/>
    </row>
    <row r="803" spans="1:22" ht="15" customHeight="1">
      <c r="A803" s="31"/>
      <c r="B803" s="3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3"/>
      <c r="T803" s="31"/>
      <c r="U803" s="32"/>
      <c r="V803" s="31"/>
    </row>
    <row r="804" spans="1:22" ht="1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30"/>
      <c r="T804" s="28"/>
      <c r="U804" s="29"/>
      <c r="V804" s="28"/>
    </row>
    <row r="805" spans="1:22" ht="15" customHeight="1">
      <c r="A805" s="31"/>
      <c r="B805" s="3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3"/>
      <c r="T805" s="31"/>
      <c r="U805" s="32"/>
      <c r="V805" s="31"/>
    </row>
    <row r="806" spans="1:22" ht="1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30"/>
      <c r="T806" s="28"/>
      <c r="U806" s="29"/>
      <c r="V806" s="28"/>
    </row>
    <row r="807" spans="1:22" ht="15" customHeight="1">
      <c r="A807" s="31"/>
      <c r="B807" s="3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3"/>
      <c r="T807" s="31"/>
      <c r="U807" s="32"/>
      <c r="V807" s="31"/>
    </row>
    <row r="808" spans="1:22" ht="1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30"/>
      <c r="T808" s="28"/>
      <c r="U808" s="29"/>
      <c r="V808" s="28"/>
    </row>
    <row r="809" spans="1:22" ht="15" customHeight="1">
      <c r="A809" s="31"/>
      <c r="B809" s="3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3"/>
      <c r="T809" s="31"/>
      <c r="U809" s="32"/>
      <c r="V809" s="31"/>
    </row>
    <row r="810" spans="1:22" ht="1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30"/>
      <c r="T810" s="28"/>
      <c r="U810" s="29"/>
      <c r="V810" s="28"/>
    </row>
    <row r="811" spans="1:22" ht="15" customHeight="1">
      <c r="A811" s="31"/>
      <c r="B811" s="3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3"/>
      <c r="T811" s="31"/>
      <c r="U811" s="32"/>
      <c r="V811" s="31"/>
    </row>
    <row r="812" spans="1:22" ht="1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30"/>
      <c r="T812" s="28"/>
      <c r="U812" s="29"/>
      <c r="V812" s="28"/>
    </row>
    <row r="813" spans="1:22" ht="15" customHeight="1">
      <c r="A813" s="31"/>
      <c r="B813" s="3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3"/>
      <c r="T813" s="31"/>
      <c r="U813" s="32"/>
      <c r="V813" s="31"/>
    </row>
    <row r="814" spans="1:22" ht="1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30"/>
      <c r="T814" s="28"/>
      <c r="U814" s="29"/>
      <c r="V814" s="28"/>
    </row>
    <row r="815" spans="1:22" ht="15" customHeight="1">
      <c r="A815" s="31"/>
      <c r="B815" s="3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3"/>
      <c r="T815" s="31"/>
      <c r="U815" s="32"/>
      <c r="V815" s="31"/>
    </row>
    <row r="816" spans="1:22" ht="1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30"/>
      <c r="T816" s="28"/>
      <c r="U816" s="29"/>
      <c r="V816" s="28"/>
    </row>
    <row r="817" spans="1:22" ht="15" customHeight="1">
      <c r="A817" s="31"/>
      <c r="B817" s="3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3"/>
      <c r="T817" s="31"/>
      <c r="U817" s="32"/>
      <c r="V817" s="31"/>
    </row>
    <row r="818" spans="1:22" ht="1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30"/>
      <c r="T818" s="28"/>
      <c r="U818" s="29"/>
      <c r="V818" s="28"/>
    </row>
    <row r="819" spans="1:22" ht="15" customHeight="1">
      <c r="A819" s="31"/>
      <c r="B819" s="3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3"/>
      <c r="T819" s="31"/>
      <c r="U819" s="32"/>
      <c r="V819" s="31"/>
    </row>
    <row r="820" spans="1:22" ht="1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30"/>
      <c r="T820" s="28"/>
      <c r="U820" s="29"/>
      <c r="V820" s="28"/>
    </row>
    <row r="821" spans="1:22" ht="15" customHeight="1">
      <c r="A821" s="31"/>
      <c r="B821" s="3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3"/>
      <c r="T821" s="31"/>
      <c r="U821" s="32"/>
      <c r="V821" s="31"/>
    </row>
    <row r="822" spans="1:22" ht="1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30"/>
      <c r="T822" s="28"/>
      <c r="U822" s="29"/>
      <c r="V822" s="28"/>
    </row>
    <row r="823" spans="1:22" ht="15" customHeight="1">
      <c r="A823" s="31"/>
      <c r="B823" s="3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3"/>
      <c r="T823" s="31"/>
      <c r="U823" s="32"/>
      <c r="V823" s="31"/>
    </row>
    <row r="824" spans="1:22" ht="1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30"/>
      <c r="T824" s="28"/>
      <c r="U824" s="29"/>
      <c r="V824" s="28"/>
    </row>
    <row r="825" spans="1:22" ht="15" customHeight="1">
      <c r="A825" s="31"/>
      <c r="B825" s="3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3"/>
      <c r="T825" s="31"/>
      <c r="U825" s="32"/>
      <c r="V825" s="31"/>
    </row>
    <row r="826" spans="1:22" ht="1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30"/>
      <c r="T826" s="28"/>
      <c r="U826" s="29"/>
      <c r="V826" s="28"/>
    </row>
    <row r="827" spans="1:22" ht="15" customHeight="1">
      <c r="A827" s="31"/>
      <c r="B827" s="3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3"/>
      <c r="T827" s="31"/>
      <c r="U827" s="32"/>
      <c r="V827" s="31"/>
    </row>
    <row r="828" spans="1:22" ht="1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30"/>
      <c r="T828" s="28"/>
      <c r="U828" s="29"/>
      <c r="V828" s="28"/>
    </row>
    <row r="829" spans="1:22" ht="15" customHeight="1">
      <c r="A829" s="31"/>
      <c r="B829" s="3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3"/>
      <c r="T829" s="31"/>
      <c r="U829" s="32"/>
      <c r="V829" s="31"/>
    </row>
    <row r="830" spans="1:22" ht="1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30"/>
      <c r="T830" s="28"/>
      <c r="U830" s="29"/>
      <c r="V830" s="28"/>
    </row>
    <row r="831" spans="1:22" ht="15" customHeight="1">
      <c r="A831" s="31"/>
      <c r="B831" s="3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3"/>
      <c r="T831" s="31"/>
      <c r="U831" s="32"/>
      <c r="V831" s="31"/>
    </row>
    <row r="832" spans="1:22" ht="1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30"/>
      <c r="T832" s="28"/>
      <c r="U832" s="29"/>
      <c r="V832" s="28"/>
    </row>
    <row r="833" spans="1:22" ht="15" customHeight="1">
      <c r="A833" s="31"/>
      <c r="B833" s="3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3"/>
      <c r="T833" s="31"/>
      <c r="U833" s="32"/>
      <c r="V833" s="31"/>
    </row>
    <row r="834" spans="1:22" ht="1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30"/>
      <c r="T834" s="28"/>
      <c r="U834" s="29"/>
      <c r="V834" s="28"/>
    </row>
    <row r="835" spans="1:22" ht="15" customHeight="1">
      <c r="A835" s="31"/>
      <c r="B835" s="3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3"/>
      <c r="T835" s="31"/>
      <c r="U835" s="32"/>
      <c r="V835" s="31"/>
    </row>
    <row r="836" spans="1:22" ht="1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30"/>
      <c r="T836" s="28"/>
      <c r="U836" s="29"/>
      <c r="V836" s="28"/>
    </row>
    <row r="837" spans="1:22" ht="15" customHeight="1">
      <c r="A837" s="31"/>
      <c r="B837" s="3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3"/>
      <c r="T837" s="31"/>
      <c r="U837" s="32"/>
      <c r="V837" s="31"/>
    </row>
    <row r="838" spans="1:22" ht="1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30"/>
      <c r="T838" s="28"/>
      <c r="U838" s="29"/>
      <c r="V838" s="28"/>
    </row>
    <row r="839" spans="1:22" ht="15" customHeight="1">
      <c r="A839" s="31"/>
      <c r="B839" s="3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3"/>
      <c r="T839" s="31"/>
      <c r="U839" s="32"/>
      <c r="V839" s="31"/>
    </row>
    <row r="840" spans="1:22" ht="1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30"/>
      <c r="T840" s="28"/>
      <c r="U840" s="29"/>
      <c r="V840" s="28"/>
    </row>
    <row r="841" spans="1:22" ht="15" customHeight="1">
      <c r="A841" s="31"/>
      <c r="B841" s="3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3"/>
      <c r="T841" s="31"/>
      <c r="U841" s="32"/>
      <c r="V841" s="31"/>
    </row>
    <row r="842" spans="1:22" ht="1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30"/>
      <c r="T842" s="28"/>
      <c r="U842" s="29"/>
      <c r="V842" s="28"/>
    </row>
    <row r="843" spans="1:22" ht="15" customHeight="1">
      <c r="A843" s="31"/>
      <c r="B843" s="3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3"/>
      <c r="T843" s="31"/>
      <c r="U843" s="32"/>
      <c r="V843" s="31"/>
    </row>
    <row r="844" spans="1:22" ht="1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30"/>
      <c r="T844" s="28"/>
      <c r="U844" s="29"/>
      <c r="V844" s="28"/>
    </row>
    <row r="845" spans="1:22" ht="15" customHeight="1">
      <c r="A845" s="31"/>
      <c r="B845" s="3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3"/>
      <c r="T845" s="31"/>
      <c r="U845" s="32"/>
      <c r="V845" s="31"/>
    </row>
    <row r="846" spans="1:22" ht="1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30"/>
      <c r="T846" s="28"/>
      <c r="U846" s="29"/>
      <c r="V846" s="28"/>
    </row>
    <row r="847" spans="1:22" ht="15" customHeight="1">
      <c r="A847" s="31"/>
      <c r="B847" s="3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3"/>
      <c r="T847" s="31"/>
      <c r="U847" s="32"/>
      <c r="V847" s="31"/>
    </row>
    <row r="848" spans="1:22" ht="1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30"/>
      <c r="T848" s="28"/>
      <c r="U848" s="29"/>
      <c r="V848" s="28"/>
    </row>
    <row r="849" spans="1:22" ht="15" customHeight="1">
      <c r="A849" s="31"/>
      <c r="B849" s="3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3"/>
      <c r="T849" s="31"/>
      <c r="U849" s="32"/>
      <c r="V849" s="31"/>
    </row>
    <row r="850" spans="1:22" ht="1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30"/>
      <c r="T850" s="28"/>
      <c r="U850" s="29"/>
      <c r="V850" s="28"/>
    </row>
    <row r="851" spans="1:22" ht="15" customHeight="1">
      <c r="A851" s="31"/>
      <c r="B851" s="3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3"/>
      <c r="T851" s="31"/>
      <c r="U851" s="32"/>
      <c r="V851" s="31"/>
    </row>
    <row r="852" spans="1:22" ht="1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30"/>
      <c r="T852" s="28"/>
      <c r="U852" s="29"/>
      <c r="V852" s="28"/>
    </row>
    <row r="853" spans="1:22" ht="15" customHeight="1">
      <c r="A853" s="31"/>
      <c r="B853" s="3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3"/>
      <c r="T853" s="31"/>
      <c r="U853" s="32"/>
      <c r="V853" s="31"/>
    </row>
    <row r="854" spans="1:22" ht="1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30"/>
      <c r="T854" s="28"/>
      <c r="U854" s="29"/>
      <c r="V854" s="28"/>
    </row>
    <row r="855" spans="1:22" ht="15" customHeight="1">
      <c r="A855" s="31"/>
      <c r="B855" s="3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3"/>
      <c r="T855" s="31"/>
      <c r="U855" s="32"/>
      <c r="V855" s="31"/>
    </row>
    <row r="856" spans="1:22" ht="1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30"/>
      <c r="T856" s="28"/>
      <c r="U856" s="29"/>
      <c r="V856" s="28"/>
    </row>
    <row r="857" spans="1:22" ht="15" customHeight="1">
      <c r="A857" s="31"/>
      <c r="B857" s="3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3"/>
      <c r="T857" s="31"/>
      <c r="U857" s="32"/>
      <c r="V857" s="31"/>
    </row>
    <row r="858" spans="1:22" ht="1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30"/>
      <c r="T858" s="28"/>
      <c r="U858" s="29"/>
      <c r="V858" s="28"/>
    </row>
    <row r="859" spans="1:22" ht="15" customHeight="1">
      <c r="A859" s="31"/>
      <c r="B859" s="3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3"/>
      <c r="T859" s="31"/>
      <c r="U859" s="32"/>
      <c r="V859" s="31"/>
    </row>
    <row r="860" spans="1:22" ht="1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30"/>
      <c r="T860" s="28"/>
      <c r="U860" s="29"/>
      <c r="V860" s="28"/>
    </row>
    <row r="861" spans="1:22" ht="15" customHeight="1">
      <c r="A861" s="31"/>
      <c r="B861" s="3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3"/>
      <c r="T861" s="31"/>
      <c r="U861" s="32"/>
      <c r="V861" s="31"/>
    </row>
    <row r="862" spans="1:22" ht="1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30"/>
      <c r="T862" s="28"/>
      <c r="U862" s="29"/>
      <c r="V862" s="28"/>
    </row>
    <row r="863" spans="1:22" ht="15" customHeight="1">
      <c r="A863" s="31"/>
      <c r="B863" s="3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3"/>
      <c r="T863" s="31"/>
      <c r="U863" s="32"/>
      <c r="V863" s="31"/>
    </row>
    <row r="864" spans="1:22" ht="1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30"/>
      <c r="T864" s="28"/>
      <c r="U864" s="29"/>
      <c r="V864" s="28"/>
    </row>
    <row r="865" spans="1:22" ht="15" customHeight="1">
      <c r="A865" s="31"/>
      <c r="B865" s="3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3"/>
      <c r="T865" s="31"/>
      <c r="U865" s="32"/>
      <c r="V865" s="31"/>
    </row>
    <row r="866" spans="1:22" ht="1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30"/>
      <c r="T866" s="28"/>
      <c r="U866" s="29"/>
      <c r="V866" s="28"/>
    </row>
    <row r="867" spans="1:22" ht="15" customHeight="1">
      <c r="A867" s="31"/>
      <c r="B867" s="3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3"/>
      <c r="T867" s="31"/>
      <c r="U867" s="32"/>
      <c r="V867" s="31"/>
    </row>
    <row r="868" spans="1:22" ht="1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30"/>
      <c r="T868" s="28"/>
      <c r="U868" s="29"/>
      <c r="V868" s="28"/>
    </row>
    <row r="869" spans="1:22" ht="15" customHeight="1">
      <c r="A869" s="31"/>
      <c r="B869" s="3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3"/>
      <c r="T869" s="31"/>
      <c r="U869" s="32"/>
      <c r="V869" s="31"/>
    </row>
    <row r="870" spans="1:22" ht="1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30"/>
      <c r="T870" s="28"/>
      <c r="U870" s="29"/>
      <c r="V870" s="28"/>
    </row>
    <row r="871" spans="1:22" ht="15" customHeight="1">
      <c r="A871" s="31"/>
      <c r="B871" s="3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3"/>
      <c r="T871" s="31"/>
      <c r="U871" s="32"/>
      <c r="V871" s="31"/>
    </row>
    <row r="872" spans="1:22" ht="1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30"/>
      <c r="T872" s="28"/>
      <c r="U872" s="29"/>
      <c r="V872" s="28"/>
    </row>
    <row r="873" spans="1:22" ht="15" customHeight="1">
      <c r="A873" s="31"/>
      <c r="B873" s="3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3"/>
      <c r="T873" s="31"/>
      <c r="U873" s="32"/>
      <c r="V873" s="31"/>
    </row>
    <row r="874" spans="1:22" ht="1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30"/>
      <c r="T874" s="28"/>
      <c r="U874" s="29"/>
      <c r="V874" s="28"/>
    </row>
    <row r="875" spans="1:22" ht="15" customHeight="1">
      <c r="A875" s="31"/>
      <c r="B875" s="3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3"/>
      <c r="T875" s="31"/>
      <c r="U875" s="32"/>
      <c r="V875" s="31"/>
    </row>
    <row r="876" spans="1:22" ht="1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30"/>
      <c r="T876" s="28"/>
      <c r="U876" s="29"/>
      <c r="V876" s="28"/>
    </row>
    <row r="877" spans="1:22" ht="15" customHeight="1">
      <c r="A877" s="31"/>
      <c r="B877" s="3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3"/>
      <c r="T877" s="31"/>
      <c r="U877" s="32"/>
      <c r="V877" s="31"/>
    </row>
    <row r="878" spans="1:22" ht="1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30"/>
      <c r="T878" s="28"/>
      <c r="U878" s="29"/>
      <c r="V878" s="28"/>
    </row>
    <row r="879" spans="1:22" ht="15" customHeight="1">
      <c r="A879" s="31"/>
      <c r="B879" s="3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3"/>
      <c r="T879" s="31"/>
      <c r="U879" s="32"/>
      <c r="V879" s="31"/>
    </row>
    <row r="880" spans="1:22" ht="1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30"/>
      <c r="T880" s="28"/>
      <c r="U880" s="29"/>
      <c r="V880" s="28"/>
    </row>
    <row r="881" spans="1:22" ht="15" customHeight="1">
      <c r="A881" s="31"/>
      <c r="B881" s="3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3"/>
      <c r="T881" s="31"/>
      <c r="U881" s="32"/>
      <c r="V881" s="31"/>
    </row>
    <row r="882" spans="1:22" ht="1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30"/>
      <c r="T882" s="28"/>
      <c r="U882" s="29"/>
      <c r="V882" s="28"/>
    </row>
    <row r="883" spans="1:22" ht="15" customHeight="1">
      <c r="A883" s="31"/>
      <c r="B883" s="3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3"/>
      <c r="T883" s="31"/>
      <c r="U883" s="32"/>
      <c r="V883" s="31"/>
    </row>
    <row r="884" spans="1:22" ht="1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30"/>
      <c r="T884" s="28"/>
      <c r="U884" s="29"/>
      <c r="V884" s="28"/>
    </row>
    <row r="885" spans="1:22" ht="15" customHeight="1">
      <c r="A885" s="31"/>
      <c r="B885" s="3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3"/>
      <c r="T885" s="31"/>
      <c r="U885" s="32"/>
      <c r="V885" s="31"/>
    </row>
    <row r="886" spans="1:22" ht="1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30"/>
      <c r="T886" s="28"/>
      <c r="U886" s="29"/>
      <c r="V886" s="28"/>
    </row>
    <row r="887" spans="1:22" ht="15" customHeight="1">
      <c r="A887" s="31"/>
      <c r="B887" s="3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3"/>
      <c r="T887" s="31"/>
      <c r="U887" s="32"/>
      <c r="V887" s="31"/>
    </row>
    <row r="888" spans="1:22" ht="1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30"/>
      <c r="T888" s="28"/>
      <c r="U888" s="29"/>
      <c r="V888" s="28"/>
    </row>
    <row r="889" spans="1:22" ht="15" customHeight="1">
      <c r="A889" s="31"/>
      <c r="B889" s="3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3"/>
      <c r="T889" s="31"/>
      <c r="U889" s="32"/>
      <c r="V889" s="31"/>
    </row>
    <row r="890" spans="1:22" ht="1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30"/>
      <c r="T890" s="28"/>
      <c r="U890" s="29"/>
      <c r="V890" s="28"/>
    </row>
    <row r="891" spans="1:22" ht="15" customHeight="1">
      <c r="A891" s="31"/>
      <c r="B891" s="3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3"/>
      <c r="T891" s="31"/>
      <c r="U891" s="32"/>
      <c r="V891" s="31"/>
    </row>
    <row r="892" spans="1:22" ht="1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30"/>
      <c r="T892" s="28"/>
      <c r="U892" s="29"/>
      <c r="V892" s="28"/>
    </row>
    <row r="893" spans="1:22" ht="15" customHeight="1">
      <c r="A893" s="31"/>
      <c r="B893" s="3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3"/>
      <c r="T893" s="31"/>
      <c r="U893" s="32"/>
      <c r="V893" s="31"/>
    </row>
    <row r="894" spans="1:22" ht="1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30"/>
      <c r="T894" s="28"/>
      <c r="U894" s="29"/>
      <c r="V894" s="28"/>
    </row>
    <row r="895" spans="1:22" ht="15" customHeight="1">
      <c r="A895" s="31"/>
      <c r="B895" s="3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3"/>
      <c r="T895" s="31"/>
      <c r="U895" s="32"/>
      <c r="V895" s="31"/>
    </row>
    <row r="896" spans="1:22" ht="1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30"/>
      <c r="T896" s="28"/>
      <c r="U896" s="29"/>
      <c r="V896" s="28"/>
    </row>
    <row r="897" spans="1:22" ht="15" customHeight="1">
      <c r="A897" s="31"/>
      <c r="B897" s="3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3"/>
      <c r="T897" s="31"/>
      <c r="U897" s="32"/>
      <c r="V897" s="31"/>
    </row>
    <row r="898" spans="1:22" ht="1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30"/>
      <c r="T898" s="28"/>
      <c r="U898" s="29"/>
      <c r="V898" s="28"/>
    </row>
    <row r="899" spans="1:22" ht="15" customHeight="1">
      <c r="A899" s="31"/>
      <c r="B899" s="3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3"/>
      <c r="T899" s="31"/>
      <c r="U899" s="32"/>
      <c r="V899" s="31"/>
    </row>
    <row r="900" spans="1:22" ht="1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30"/>
      <c r="T900" s="28"/>
      <c r="U900" s="29"/>
      <c r="V900" s="28"/>
    </row>
    <row r="901" spans="1:22" ht="15" customHeight="1">
      <c r="A901" s="31"/>
      <c r="B901" s="3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3"/>
      <c r="T901" s="31"/>
      <c r="U901" s="32"/>
      <c r="V901" s="31"/>
    </row>
    <row r="902" spans="1:22" ht="1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30"/>
      <c r="T902" s="28"/>
      <c r="U902" s="29"/>
      <c r="V902" s="28"/>
    </row>
    <row r="903" spans="1:22" ht="15" customHeight="1">
      <c r="A903" s="31"/>
      <c r="B903" s="3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3"/>
      <c r="T903" s="31"/>
      <c r="U903" s="32"/>
      <c r="V903" s="31"/>
    </row>
    <row r="904" spans="1:22" ht="1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30"/>
      <c r="T904" s="28"/>
      <c r="U904" s="29"/>
      <c r="V904" s="28"/>
    </row>
    <row r="905" spans="1:22" ht="15" customHeight="1">
      <c r="A905" s="31"/>
      <c r="B905" s="3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3"/>
      <c r="T905" s="31"/>
      <c r="U905" s="32"/>
      <c r="V905" s="31"/>
    </row>
    <row r="906" spans="1:22" ht="1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30"/>
      <c r="T906" s="28"/>
      <c r="U906" s="29"/>
      <c r="V906" s="28"/>
    </row>
    <row r="907" spans="1:22" ht="15" customHeight="1">
      <c r="A907" s="31"/>
      <c r="B907" s="3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3"/>
      <c r="T907" s="31"/>
      <c r="U907" s="32"/>
      <c r="V907" s="31"/>
    </row>
    <row r="908" spans="1:22" ht="1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30"/>
      <c r="T908" s="28"/>
      <c r="U908" s="29"/>
      <c r="V908" s="28"/>
    </row>
    <row r="909" spans="1:22" ht="15" customHeight="1">
      <c r="A909" s="31"/>
      <c r="B909" s="3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3"/>
      <c r="T909" s="31"/>
      <c r="U909" s="32"/>
      <c r="V909" s="31"/>
    </row>
    <row r="910" spans="1:22" ht="1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30"/>
      <c r="T910" s="28"/>
      <c r="U910" s="29"/>
      <c r="V910" s="28"/>
    </row>
    <row r="911" spans="1:22" ht="15" customHeight="1">
      <c r="A911" s="31"/>
      <c r="B911" s="3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3"/>
      <c r="T911" s="31"/>
      <c r="U911" s="32"/>
      <c r="V911" s="31"/>
    </row>
    <row r="912" spans="1:22" ht="1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30"/>
      <c r="T912" s="28"/>
      <c r="U912" s="29"/>
      <c r="V912" s="28"/>
    </row>
    <row r="913" spans="1:22" ht="15" customHeight="1">
      <c r="A913" s="31"/>
      <c r="B913" s="3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3"/>
      <c r="T913" s="31"/>
      <c r="U913" s="32"/>
      <c r="V913" s="31"/>
    </row>
    <row r="914" spans="1:22" ht="1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30"/>
      <c r="T914" s="28"/>
      <c r="U914" s="29"/>
      <c r="V914" s="28"/>
    </row>
    <row r="915" spans="1:22" ht="15" customHeight="1">
      <c r="A915" s="31"/>
      <c r="B915" s="3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3"/>
      <c r="T915" s="31"/>
      <c r="U915" s="32"/>
      <c r="V915" s="31"/>
    </row>
    <row r="916" spans="1:22" ht="1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30"/>
      <c r="T916" s="28"/>
      <c r="U916" s="29"/>
      <c r="V916" s="28"/>
    </row>
    <row r="917" spans="1:22" ht="15" customHeight="1">
      <c r="A917" s="31"/>
      <c r="B917" s="3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3"/>
      <c r="T917" s="31"/>
      <c r="U917" s="32"/>
      <c r="V917" s="31"/>
    </row>
    <row r="918" spans="1:22" ht="1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30"/>
      <c r="T918" s="28"/>
      <c r="U918" s="29"/>
      <c r="V918" s="28"/>
    </row>
    <row r="919" spans="1:22" ht="15" customHeight="1">
      <c r="A919" s="31"/>
      <c r="B919" s="3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3"/>
      <c r="T919" s="31"/>
      <c r="U919" s="32"/>
      <c r="V919" s="31"/>
    </row>
    <row r="920" spans="1:22" ht="1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30"/>
      <c r="T920" s="28"/>
      <c r="U920" s="29"/>
      <c r="V920" s="28"/>
    </row>
    <row r="921" spans="1:22" ht="15" customHeight="1">
      <c r="A921" s="31"/>
      <c r="B921" s="3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3"/>
      <c r="T921" s="31"/>
      <c r="U921" s="32"/>
      <c r="V921" s="31"/>
    </row>
    <row r="922" spans="1:22" ht="1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30"/>
      <c r="T922" s="28"/>
      <c r="U922" s="29"/>
      <c r="V922" s="28"/>
    </row>
    <row r="923" spans="1:22" ht="15" customHeight="1">
      <c r="A923" s="31"/>
      <c r="B923" s="3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3"/>
      <c r="T923" s="31"/>
      <c r="U923" s="32"/>
      <c r="V923" s="31"/>
    </row>
    <row r="924" spans="1:22" ht="1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30"/>
      <c r="T924" s="28"/>
      <c r="U924" s="29"/>
      <c r="V924" s="28"/>
    </row>
    <row r="925" spans="1:22" ht="15" customHeight="1">
      <c r="A925" s="31"/>
      <c r="B925" s="3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3"/>
      <c r="T925" s="31"/>
      <c r="U925" s="32"/>
      <c r="V925" s="31"/>
    </row>
    <row r="926" spans="1:22" ht="1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30"/>
      <c r="T926" s="28"/>
      <c r="U926" s="29"/>
      <c r="V926" s="28"/>
    </row>
    <row r="927" spans="1:22" ht="15" customHeight="1">
      <c r="A927" s="31"/>
      <c r="B927" s="3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3"/>
      <c r="T927" s="31"/>
      <c r="U927" s="32"/>
      <c r="V927" s="31"/>
    </row>
    <row r="928" spans="1:22" ht="1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30"/>
      <c r="T928" s="28"/>
      <c r="U928" s="29"/>
      <c r="V928" s="28"/>
    </row>
    <row r="929" spans="1:22" ht="15" customHeight="1">
      <c r="A929" s="31"/>
      <c r="B929" s="3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3"/>
      <c r="T929" s="31"/>
      <c r="U929" s="32"/>
      <c r="V929" s="31"/>
    </row>
    <row r="930" spans="1:22" ht="1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30"/>
      <c r="T930" s="28"/>
      <c r="U930" s="29"/>
      <c r="V930" s="28"/>
    </row>
    <row r="931" spans="1:22" ht="15" customHeight="1">
      <c r="A931" s="31"/>
      <c r="B931" s="3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3"/>
      <c r="T931" s="31"/>
      <c r="U931" s="32"/>
      <c r="V931" s="31"/>
    </row>
    <row r="932" spans="1:22" ht="1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30"/>
      <c r="T932" s="28"/>
      <c r="U932" s="29"/>
      <c r="V932" s="28"/>
    </row>
    <row r="933" spans="1:22" ht="15" customHeight="1">
      <c r="A933" s="31"/>
      <c r="B933" s="3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3"/>
      <c r="T933" s="31"/>
      <c r="U933" s="32"/>
      <c r="V933" s="31"/>
    </row>
    <row r="934" spans="1:22" ht="1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30"/>
      <c r="T934" s="28"/>
      <c r="U934" s="29"/>
      <c r="V934" s="28"/>
    </row>
    <row r="935" spans="1:22" ht="15" customHeight="1">
      <c r="A935" s="31"/>
      <c r="B935" s="3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3"/>
      <c r="T935" s="31"/>
      <c r="U935" s="32"/>
      <c r="V935" s="31"/>
    </row>
    <row r="936" spans="1:22" ht="1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30"/>
      <c r="T936" s="28"/>
      <c r="U936" s="29"/>
      <c r="V936" s="28"/>
    </row>
    <row r="937" spans="1:22" ht="15" customHeight="1">
      <c r="A937" s="31"/>
      <c r="B937" s="3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3"/>
      <c r="T937" s="31"/>
      <c r="U937" s="32"/>
      <c r="V937" s="31"/>
    </row>
    <row r="938" spans="1:22" ht="1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30"/>
      <c r="T938" s="28"/>
      <c r="U938" s="29"/>
      <c r="V938" s="28"/>
    </row>
    <row r="939" spans="1:22" ht="15" customHeight="1">
      <c r="A939" s="31"/>
      <c r="B939" s="3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3"/>
      <c r="T939" s="31"/>
      <c r="U939" s="32"/>
      <c r="V939" s="31"/>
    </row>
    <row r="940" spans="1:22" ht="1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30"/>
      <c r="T940" s="28"/>
      <c r="U940" s="29"/>
      <c r="V940" s="28"/>
    </row>
    <row r="941" spans="1:22" ht="15" customHeight="1">
      <c r="A941" s="31"/>
      <c r="B941" s="3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3"/>
      <c r="T941" s="31"/>
      <c r="U941" s="32"/>
      <c r="V941" s="31"/>
    </row>
    <row r="942" spans="1:22" ht="1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30"/>
      <c r="T942" s="28"/>
      <c r="U942" s="29"/>
      <c r="V942" s="28"/>
    </row>
    <row r="943" spans="1:22" ht="15" customHeight="1">
      <c r="A943" s="31"/>
      <c r="B943" s="3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3"/>
      <c r="T943" s="31"/>
      <c r="U943" s="32"/>
      <c r="V943" s="31"/>
    </row>
    <row r="944" spans="1:22" ht="1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30"/>
      <c r="T944" s="28"/>
      <c r="U944" s="29"/>
      <c r="V944" s="28"/>
    </row>
    <row r="945" spans="1:22" ht="15" customHeight="1">
      <c r="A945" s="31"/>
      <c r="B945" s="3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3"/>
      <c r="T945" s="31"/>
      <c r="U945" s="32"/>
      <c r="V945" s="31"/>
    </row>
    <row r="946" spans="1:22" ht="1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30"/>
      <c r="T946" s="28"/>
      <c r="U946" s="29"/>
      <c r="V946" s="28"/>
    </row>
    <row r="947" spans="1:22" ht="15" customHeight="1">
      <c r="A947" s="31"/>
      <c r="B947" s="3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3"/>
      <c r="T947" s="31"/>
      <c r="U947" s="32"/>
      <c r="V947" s="31"/>
    </row>
    <row r="948" spans="1:22" ht="1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30"/>
      <c r="T948" s="28"/>
      <c r="U948" s="29"/>
      <c r="V948" s="28"/>
    </row>
    <row r="949" spans="1:22" ht="15" customHeight="1">
      <c r="A949" s="31"/>
      <c r="B949" s="3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3"/>
      <c r="T949" s="31"/>
      <c r="U949" s="32"/>
      <c r="V949" s="31"/>
    </row>
    <row r="950" spans="1:22" ht="1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30"/>
      <c r="T950" s="28"/>
      <c r="U950" s="29"/>
      <c r="V950" s="28"/>
    </row>
    <row r="951" spans="1:22" ht="15" customHeight="1">
      <c r="A951" s="31"/>
      <c r="B951" s="3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3"/>
      <c r="T951" s="31"/>
      <c r="U951" s="32"/>
      <c r="V951" s="31"/>
    </row>
    <row r="952" spans="1:22" ht="1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30"/>
      <c r="T952" s="28"/>
      <c r="U952" s="29"/>
      <c r="V952" s="28"/>
    </row>
    <row r="953" spans="1:22" ht="15" customHeight="1">
      <c r="A953" s="31"/>
      <c r="B953" s="3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3"/>
      <c r="T953" s="31"/>
      <c r="U953" s="32"/>
      <c r="V953" s="31"/>
    </row>
    <row r="954" spans="1:22" ht="1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30"/>
      <c r="T954" s="28"/>
      <c r="U954" s="29"/>
      <c r="V954" s="28"/>
    </row>
    <row r="955" spans="1:22" ht="15" customHeight="1">
      <c r="A955" s="31"/>
      <c r="B955" s="3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3"/>
      <c r="T955" s="31"/>
      <c r="U955" s="32"/>
      <c r="V955" s="31"/>
    </row>
    <row r="956" spans="1:22" ht="1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30"/>
      <c r="T956" s="28"/>
      <c r="U956" s="29"/>
      <c r="V956" s="28"/>
    </row>
    <row r="957" spans="1:22" ht="15" customHeight="1">
      <c r="A957" s="31"/>
      <c r="B957" s="3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3"/>
      <c r="T957" s="31"/>
      <c r="U957" s="32"/>
      <c r="V957" s="31"/>
    </row>
    <row r="958" spans="1:22" ht="1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30"/>
      <c r="T958" s="28"/>
      <c r="U958" s="29"/>
      <c r="V958" s="28"/>
    </row>
    <row r="959" spans="1:22" ht="15" customHeight="1">
      <c r="A959" s="31"/>
      <c r="B959" s="3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3"/>
      <c r="T959" s="31"/>
      <c r="U959" s="32"/>
      <c r="V959" s="31"/>
    </row>
    <row r="960" spans="1:22" ht="1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30"/>
      <c r="T960" s="28"/>
      <c r="U960" s="29"/>
      <c r="V960" s="28"/>
    </row>
    <row r="961" spans="1:22" ht="15" customHeight="1">
      <c r="A961" s="31"/>
      <c r="B961" s="3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3"/>
      <c r="T961" s="31"/>
      <c r="U961" s="32"/>
      <c r="V961" s="31"/>
    </row>
    <row r="962" spans="1:22" ht="1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30"/>
      <c r="T962" s="28"/>
      <c r="U962" s="29"/>
      <c r="V962" s="28"/>
    </row>
    <row r="963" spans="1:22" ht="15" customHeight="1">
      <c r="A963" s="31"/>
      <c r="B963" s="3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3"/>
      <c r="T963" s="31"/>
      <c r="U963" s="32"/>
      <c r="V963" s="31"/>
    </row>
    <row r="964" spans="1:22" ht="1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30"/>
      <c r="T964" s="28"/>
      <c r="U964" s="29"/>
      <c r="V964" s="28"/>
    </row>
    <row r="965" spans="1:22" ht="15" customHeight="1">
      <c r="A965" s="31"/>
      <c r="B965" s="3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3"/>
      <c r="T965" s="31"/>
      <c r="U965" s="32"/>
      <c r="V965" s="31"/>
    </row>
    <row r="966" spans="1:22" ht="1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30"/>
      <c r="T966" s="28"/>
      <c r="U966" s="29"/>
      <c r="V966" s="28"/>
    </row>
    <row r="967" spans="1:22" ht="15" customHeight="1">
      <c r="A967" s="31"/>
      <c r="B967" s="3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3"/>
      <c r="T967" s="31"/>
      <c r="U967" s="32"/>
      <c r="V967" s="31"/>
    </row>
    <row r="968" spans="1:22" ht="1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30"/>
      <c r="T968" s="28"/>
      <c r="U968" s="29"/>
      <c r="V968" s="28"/>
    </row>
    <row r="969" spans="1:22" ht="15" customHeight="1">
      <c r="A969" s="31"/>
      <c r="B969" s="3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3"/>
      <c r="T969" s="31"/>
      <c r="U969" s="32"/>
      <c r="V969" s="31"/>
    </row>
    <row r="970" spans="1:22" ht="1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30"/>
      <c r="T970" s="28"/>
      <c r="U970" s="29"/>
      <c r="V970" s="28"/>
    </row>
    <row r="971" spans="1:22" ht="15" customHeight="1">
      <c r="A971" s="31"/>
      <c r="B971" s="3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3"/>
      <c r="T971" s="31"/>
      <c r="U971" s="32"/>
      <c r="V971" s="31"/>
    </row>
    <row r="972" spans="1:22" ht="1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30"/>
      <c r="T972" s="28"/>
      <c r="U972" s="29"/>
      <c r="V972" s="28"/>
    </row>
    <row r="973" spans="1:22" ht="15" customHeight="1">
      <c r="A973" s="31"/>
      <c r="B973" s="3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3"/>
      <c r="T973" s="31"/>
      <c r="U973" s="32"/>
      <c r="V973" s="31"/>
    </row>
    <row r="974" spans="1:22" ht="1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30"/>
      <c r="T974" s="28"/>
      <c r="U974" s="29"/>
      <c r="V974" s="28"/>
    </row>
    <row r="975" spans="1:22" ht="15" customHeight="1">
      <c r="A975" s="31"/>
      <c r="B975" s="3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3"/>
      <c r="T975" s="31"/>
      <c r="U975" s="32"/>
      <c r="V975" s="31"/>
    </row>
    <row r="976" spans="1:22" ht="1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30"/>
      <c r="T976" s="28"/>
      <c r="U976" s="29"/>
      <c r="V976" s="28"/>
    </row>
    <row r="977" spans="1:22" ht="15" customHeight="1">
      <c r="A977" s="31"/>
      <c r="B977" s="3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3"/>
      <c r="T977" s="31"/>
      <c r="U977" s="32"/>
      <c r="V977" s="31"/>
    </row>
    <row r="978" spans="1:22" ht="1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30"/>
      <c r="T978" s="28"/>
      <c r="U978" s="29"/>
      <c r="V978" s="28"/>
    </row>
    <row r="979" spans="1:22" ht="15" customHeight="1">
      <c r="A979" s="31"/>
      <c r="B979" s="3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3"/>
      <c r="T979" s="31"/>
      <c r="U979" s="32"/>
      <c r="V979" s="31"/>
    </row>
    <row r="980" spans="1:22" ht="1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30"/>
      <c r="T980" s="28"/>
      <c r="U980" s="29"/>
      <c r="V980" s="28"/>
    </row>
    <row r="981" spans="1:22" ht="15" customHeight="1">
      <c r="A981" s="31"/>
      <c r="B981" s="3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3"/>
      <c r="T981" s="31"/>
      <c r="U981" s="32"/>
      <c r="V981" s="31"/>
    </row>
    <row r="982" spans="1:22" ht="15" customHeight="1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30"/>
      <c r="T982" s="28"/>
      <c r="U982" s="29"/>
      <c r="V982" s="28"/>
    </row>
    <row r="983" spans="1:22" ht="15" customHeight="1">
      <c r="A983" s="31"/>
      <c r="B983" s="3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3"/>
      <c r="T983" s="31"/>
      <c r="U983" s="32"/>
      <c r="V983" s="31"/>
    </row>
    <row r="984" spans="1:22" ht="15" customHeight="1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30"/>
      <c r="T984" s="28"/>
      <c r="U984" s="29"/>
      <c r="V984" s="28"/>
    </row>
    <row r="985" spans="1:22" ht="15" customHeight="1">
      <c r="A985" s="31"/>
      <c r="B985" s="3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3"/>
      <c r="T985" s="31"/>
      <c r="U985" s="32"/>
      <c r="V985" s="31"/>
    </row>
    <row r="986" spans="1:22" ht="15" customHeight="1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30"/>
      <c r="T986" s="28"/>
      <c r="U986" s="29"/>
      <c r="V986" s="28"/>
    </row>
    <row r="987" spans="1:22" ht="15" customHeight="1">
      <c r="A987" s="31"/>
      <c r="B987" s="3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3"/>
      <c r="T987" s="31"/>
      <c r="U987" s="32"/>
      <c r="V987" s="31"/>
    </row>
    <row r="988" spans="1:22" ht="15" customHeight="1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30"/>
      <c r="T988" s="28"/>
      <c r="U988" s="29"/>
      <c r="V988" s="28"/>
    </row>
    <row r="989" spans="1:22" ht="15" customHeight="1">
      <c r="A989" s="31"/>
      <c r="B989" s="3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3"/>
      <c r="T989" s="31"/>
      <c r="U989" s="32"/>
      <c r="V989" s="31"/>
    </row>
    <row r="990" spans="1:22" ht="15" customHeight="1">
      <c r="A990" s="28"/>
      <c r="B990" s="2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30"/>
      <c r="T990" s="28"/>
      <c r="U990" s="29"/>
      <c r="V990" s="28"/>
    </row>
    <row r="991" spans="1:22" ht="15" customHeight="1">
      <c r="A991" s="31"/>
      <c r="B991" s="3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3"/>
      <c r="T991" s="31"/>
      <c r="U991" s="32"/>
      <c r="V991" s="31"/>
    </row>
    <row r="992" spans="1:22" ht="15" customHeight="1">
      <c r="A992" s="28"/>
      <c r="B992" s="2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30"/>
      <c r="T992" s="28"/>
      <c r="U992" s="29"/>
      <c r="V992" s="28"/>
    </row>
    <row r="993" spans="1:22" ht="15" customHeight="1">
      <c r="A993" s="31"/>
      <c r="B993" s="32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3"/>
      <c r="T993" s="31"/>
      <c r="U993" s="32"/>
      <c r="V993" s="31"/>
    </row>
    <row r="994" spans="1:22" ht="15" customHeight="1">
      <c r="A994" s="28"/>
      <c r="B994" s="2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30"/>
      <c r="T994" s="28"/>
      <c r="U994" s="29"/>
      <c r="V994" s="28"/>
    </row>
    <row r="995" spans="1:22" ht="15" customHeight="1">
      <c r="A995" s="31"/>
      <c r="B995" s="32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3"/>
      <c r="T995" s="31"/>
      <c r="U995" s="32"/>
      <c r="V995" s="31"/>
    </row>
    <row r="996" spans="1:22" ht="15" customHeight="1">
      <c r="A996" s="28"/>
      <c r="B996" s="2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30"/>
      <c r="T996" s="28"/>
      <c r="U996" s="29"/>
      <c r="V996" s="28"/>
    </row>
    <row r="997" spans="1:22" ht="15" customHeight="1">
      <c r="A997" s="31"/>
      <c r="B997" s="32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3"/>
      <c r="T997" s="31"/>
      <c r="U997" s="32"/>
      <c r="V997" s="31"/>
    </row>
    <row r="998" spans="1:22" ht="15" customHeight="1">
      <c r="A998" s="28"/>
      <c r="B998" s="2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30"/>
      <c r="T998" s="28"/>
      <c r="U998" s="29"/>
      <c r="V998" s="28"/>
    </row>
    <row r="999" spans="1:22" ht="15" customHeight="1">
      <c r="A999" s="31"/>
      <c r="B999" s="32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3"/>
      <c r="T999" s="31"/>
      <c r="U999" s="32"/>
      <c r="V999" s="31"/>
    </row>
    <row r="1000" spans="1:22" ht="15" customHeight="1">
      <c r="A1000" s="28"/>
      <c r="B1000" s="29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30"/>
      <c r="T1000" s="28"/>
      <c r="U1000" s="29"/>
      <c r="V1000" s="28"/>
    </row>
    <row r="1001" spans="1:22" ht="15" customHeight="1">
      <c r="A1001" s="31"/>
      <c r="B1001" s="32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3"/>
      <c r="T1001" s="31"/>
      <c r="U1001" s="32"/>
      <c r="V1001" s="31"/>
    </row>
    <row r="1002" spans="1:22" ht="15" customHeight="1">
      <c r="A1002" s="28"/>
      <c r="B1002" s="29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30"/>
      <c r="T1002" s="28"/>
      <c r="U1002" s="29"/>
      <c r="V1002" s="28"/>
    </row>
    <row r="1003" spans="1:22" ht="15" customHeight="1">
      <c r="A1003" s="31"/>
      <c r="B1003" s="32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3"/>
      <c r="T1003" s="31"/>
      <c r="U1003" s="32"/>
      <c r="V1003" s="31"/>
    </row>
    <row r="1004" spans="1:22" ht="15" customHeight="1">
      <c r="A1004" s="28"/>
      <c r="B1004" s="29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30"/>
      <c r="T1004" s="28"/>
      <c r="U1004" s="29"/>
      <c r="V1004" s="28"/>
    </row>
    <row r="1005" spans="1:22" ht="15" customHeight="1">
      <c r="A1005" s="31"/>
      <c r="B1005" s="32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3"/>
      <c r="T1005" s="31"/>
      <c r="U1005" s="32"/>
      <c r="V1005" s="31"/>
    </row>
  </sheetData>
  <mergeCells count="13">
    <mergeCell ref="Y2:AB2"/>
    <mergeCell ref="A3:D3"/>
    <mergeCell ref="E3:H3"/>
    <mergeCell ref="I3:O3"/>
    <mergeCell ref="P3:Q3"/>
    <mergeCell ref="R3:S3"/>
    <mergeCell ref="T3:V3"/>
    <mergeCell ref="A1:V1"/>
    <mergeCell ref="B2:E2"/>
    <mergeCell ref="G2:I2"/>
    <mergeCell ref="K2:M2"/>
    <mergeCell ref="O2:R2"/>
    <mergeCell ref="T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showGridLines="0" zoomScaleNormal="100" workbookViewId="0"/>
  </sheetViews>
  <sheetFormatPr defaultColWidth="8.7109375" defaultRowHeight="15"/>
  <cols>
    <col min="1" max="1" width="3" customWidth="1"/>
    <col min="2" max="2" width="26" customWidth="1"/>
    <col min="3" max="3" width="90" customWidth="1"/>
    <col min="4" max="4" width="3" customWidth="1"/>
  </cols>
  <sheetData>
    <row r="1" spans="1:4" ht="27.75" customHeight="1">
      <c r="A1" s="1" t="s">
        <v>57</v>
      </c>
      <c r="B1" s="1"/>
      <c r="C1" s="1"/>
      <c r="D1" s="1"/>
    </row>
    <row r="2" spans="1:4" ht="21.75" customHeight="1">
      <c r="B2" s="38" t="s">
        <v>58</v>
      </c>
      <c r="C2" s="38"/>
    </row>
    <row r="4" spans="1:4" ht="19.5" customHeight="1">
      <c r="B4" s="39" t="s">
        <v>59</v>
      </c>
      <c r="C4" s="39"/>
    </row>
    <row r="5" spans="1:4" ht="15.75" customHeight="1">
      <c r="B5" s="34" t="s">
        <v>60</v>
      </c>
      <c r="C5" s="35" t="s">
        <v>61</v>
      </c>
    </row>
    <row r="6" spans="1:4" ht="15.75" customHeight="1">
      <c r="B6" s="34" t="s">
        <v>62</v>
      </c>
      <c r="C6" s="35" t="s">
        <v>63</v>
      </c>
    </row>
    <row r="7" spans="1:4" ht="15.75" customHeight="1">
      <c r="B7" s="34" t="s">
        <v>64</v>
      </c>
      <c r="C7" s="35" t="s">
        <v>65</v>
      </c>
    </row>
    <row r="8" spans="1:4" ht="15.75" customHeight="1">
      <c r="B8" s="34" t="s">
        <v>66</v>
      </c>
      <c r="C8" s="35" t="s">
        <v>67</v>
      </c>
    </row>
    <row r="9" spans="1:4" ht="36" customHeight="1">
      <c r="B9" s="34" t="s">
        <v>68</v>
      </c>
      <c r="C9" s="35" t="s">
        <v>69</v>
      </c>
    </row>
    <row r="10" spans="1:4" ht="27.75" customHeight="1">
      <c r="B10" s="34" t="s">
        <v>70</v>
      </c>
      <c r="C10" s="35" t="s">
        <v>71</v>
      </c>
    </row>
    <row r="11" spans="1:4" ht="15.75" customHeight="1">
      <c r="B11" s="34" t="s">
        <v>72</v>
      </c>
      <c r="C11" s="35" t="s">
        <v>73</v>
      </c>
    </row>
    <row r="12" spans="1:4" ht="15.75" customHeight="1">
      <c r="B12" s="34" t="s">
        <v>74</v>
      </c>
      <c r="C12" s="35" t="s">
        <v>75</v>
      </c>
    </row>
    <row r="13" spans="1:4">
      <c r="B13" s="36"/>
      <c r="C13" s="36"/>
    </row>
    <row r="14" spans="1:4" ht="19.5" customHeight="1">
      <c r="B14" s="40" t="s">
        <v>76</v>
      </c>
      <c r="C14" s="40"/>
    </row>
    <row r="15" spans="1:4" ht="409.6" customHeight="1">
      <c r="B15" s="34" t="s">
        <v>77</v>
      </c>
      <c r="C15" s="37" t="s">
        <v>78</v>
      </c>
    </row>
    <row r="16" spans="1:4" ht="180" customHeight="1">
      <c r="B16" s="34" t="s">
        <v>79</v>
      </c>
      <c r="C16" s="37" t="s">
        <v>80</v>
      </c>
    </row>
    <row r="17" spans="2:3">
      <c r="B17" s="36"/>
      <c r="C17" s="36"/>
    </row>
    <row r="18" spans="2:3" ht="19.5" customHeight="1">
      <c r="B18" s="41" t="s">
        <v>81</v>
      </c>
      <c r="C18" s="41"/>
    </row>
    <row r="19" spans="2:3" ht="24" customHeight="1">
      <c r="B19" s="34" t="s">
        <v>70</v>
      </c>
      <c r="C19" s="35" t="s">
        <v>82</v>
      </c>
    </row>
    <row r="20" spans="2:3" ht="13.5" customHeight="1">
      <c r="B20" s="42" t="s">
        <v>83</v>
      </c>
      <c r="C20" s="42"/>
    </row>
    <row r="21" spans="2:3" ht="13.5" customHeight="1">
      <c r="B21" s="42" t="s">
        <v>84</v>
      </c>
      <c r="C21" s="42"/>
    </row>
    <row r="22" spans="2:3" ht="13.5" customHeight="1">
      <c r="B22" s="42" t="s">
        <v>85</v>
      </c>
      <c r="C22" s="42"/>
    </row>
    <row r="23" spans="2:3" ht="13.5" customHeight="1">
      <c r="B23" s="42" t="s">
        <v>86</v>
      </c>
      <c r="C23" s="42"/>
    </row>
    <row r="24" spans="2:3" ht="13.5" customHeight="1">
      <c r="B24" s="42" t="s">
        <v>87</v>
      </c>
      <c r="C24" s="42"/>
    </row>
    <row r="25" spans="2:3" ht="13.5" customHeight="1">
      <c r="B25" s="42" t="s">
        <v>88</v>
      </c>
      <c r="C25" s="42"/>
    </row>
    <row r="26" spans="2:3" ht="13.5" customHeight="1">
      <c r="B26" s="42" t="s">
        <v>89</v>
      </c>
      <c r="C26" s="42"/>
    </row>
    <row r="27" spans="2:3" ht="13.5" customHeight="1">
      <c r="B27" s="42" t="s">
        <v>90</v>
      </c>
      <c r="C27" s="42"/>
    </row>
    <row r="28" spans="2:3" ht="13.5" customHeight="1">
      <c r="B28" s="42" t="s">
        <v>91</v>
      </c>
      <c r="C28" s="42"/>
    </row>
    <row r="29" spans="2:3" ht="13.5" customHeight="1">
      <c r="B29" s="42"/>
      <c r="C29" s="42"/>
    </row>
    <row r="30" spans="2:3" ht="13.5" customHeight="1">
      <c r="B30" s="42" t="s">
        <v>92</v>
      </c>
      <c r="C30" s="42"/>
    </row>
    <row r="31" spans="2:3" ht="13.5" customHeight="1">
      <c r="B31" s="42" t="s">
        <v>93</v>
      </c>
      <c r="C31" s="42"/>
    </row>
    <row r="32" spans="2:3" ht="13.5" customHeight="1">
      <c r="B32" s="42" t="s">
        <v>94</v>
      </c>
      <c r="C32" s="42"/>
    </row>
    <row r="33" spans="2:3" ht="13.5" customHeight="1">
      <c r="B33" s="42" t="s">
        <v>95</v>
      </c>
      <c r="C33" s="42"/>
    </row>
    <row r="34" spans="2:3" ht="13.5" customHeight="1">
      <c r="B34" s="42" t="s">
        <v>96</v>
      </c>
      <c r="C34" s="42"/>
    </row>
    <row r="35" spans="2:3" ht="13.5" customHeight="1">
      <c r="B35" s="42"/>
      <c r="C35" s="42"/>
    </row>
    <row r="36" spans="2:3" ht="13.5" customHeight="1">
      <c r="B36" s="42" t="s">
        <v>97</v>
      </c>
      <c r="C36" s="42"/>
    </row>
    <row r="37" spans="2:3" ht="13.5" customHeight="1">
      <c r="B37" s="42" t="s">
        <v>98</v>
      </c>
      <c r="C37" s="42"/>
    </row>
    <row r="38" spans="2:3" ht="13.5" customHeight="1">
      <c r="B38" s="42" t="s">
        <v>99</v>
      </c>
      <c r="C38" s="42"/>
    </row>
    <row r="39" spans="2:3" ht="13.5" customHeight="1">
      <c r="B39" s="42" t="s">
        <v>100</v>
      </c>
      <c r="C39" s="42"/>
    </row>
    <row r="40" spans="2:3" ht="13.5" customHeight="1">
      <c r="B40" s="42" t="s">
        <v>101</v>
      </c>
      <c r="C40" s="42"/>
    </row>
    <row r="41" spans="2:3" ht="13.5" customHeight="1">
      <c r="B41" s="42" t="s">
        <v>102</v>
      </c>
      <c r="C41" s="42"/>
    </row>
    <row r="42" spans="2:3" ht="13.5" customHeight="1">
      <c r="B42" s="42" t="s">
        <v>103</v>
      </c>
      <c r="C42" s="42"/>
    </row>
    <row r="43" spans="2:3" ht="13.5" customHeight="1">
      <c r="B43" s="42" t="s">
        <v>104</v>
      </c>
      <c r="C43" s="42"/>
    </row>
    <row r="44" spans="2:3" ht="13.5" customHeight="1">
      <c r="B44" s="42" t="s">
        <v>105</v>
      </c>
      <c r="C44" s="42"/>
    </row>
    <row r="45" spans="2:3" ht="13.5" customHeight="1">
      <c r="B45" s="42" t="s">
        <v>106</v>
      </c>
      <c r="C45" s="42"/>
    </row>
    <row r="46" spans="2:3" ht="13.5" customHeight="1">
      <c r="B46" s="42" t="s">
        <v>101</v>
      </c>
      <c r="C46" s="42"/>
    </row>
    <row r="47" spans="2:3" ht="13.5" customHeight="1">
      <c r="B47" s="42" t="s">
        <v>107</v>
      </c>
      <c r="C47" s="42"/>
    </row>
    <row r="48" spans="2:3" ht="13.5" customHeight="1">
      <c r="B48" s="42" t="s">
        <v>108</v>
      </c>
      <c r="C48" s="42"/>
    </row>
    <row r="49" spans="2:3" ht="13.5" customHeight="1">
      <c r="B49" s="42" t="s">
        <v>109</v>
      </c>
      <c r="C49" s="42"/>
    </row>
    <row r="50" spans="2:3" ht="13.5" customHeight="1">
      <c r="B50" s="42" t="s">
        <v>110</v>
      </c>
      <c r="C50" s="42"/>
    </row>
    <row r="51" spans="2:3" ht="13.5" customHeight="1">
      <c r="B51" s="42" t="s">
        <v>101</v>
      </c>
      <c r="C51" s="42"/>
    </row>
    <row r="52" spans="2:3" ht="13.5" customHeight="1">
      <c r="B52" s="42" t="s">
        <v>111</v>
      </c>
      <c r="C52" s="42"/>
    </row>
    <row r="53" spans="2:3" ht="13.5" customHeight="1">
      <c r="B53" s="42" t="s">
        <v>112</v>
      </c>
      <c r="C53" s="42"/>
    </row>
    <row r="54" spans="2:3" ht="13.5" customHeight="1">
      <c r="B54" s="42" t="s">
        <v>113</v>
      </c>
      <c r="C54" s="42"/>
    </row>
    <row r="55" spans="2:3" ht="13.5" customHeight="1">
      <c r="B55" s="42" t="s">
        <v>114</v>
      </c>
      <c r="C55" s="42"/>
    </row>
    <row r="56" spans="2:3" ht="13.5" customHeight="1">
      <c r="B56" s="42" t="s">
        <v>115</v>
      </c>
      <c r="C56" s="42"/>
    </row>
    <row r="57" spans="2:3" ht="13.5" customHeight="1">
      <c r="B57" s="42" t="s">
        <v>116</v>
      </c>
      <c r="C57" s="42"/>
    </row>
    <row r="58" spans="2:3" ht="13.5" customHeight="1">
      <c r="B58" s="42"/>
      <c r="C58" s="42"/>
    </row>
    <row r="59" spans="2:3" ht="13.5" customHeight="1">
      <c r="B59" s="42" t="s">
        <v>117</v>
      </c>
      <c r="C59" s="42"/>
    </row>
    <row r="60" spans="2:3" ht="13.5" customHeight="1">
      <c r="B60" s="42" t="s">
        <v>118</v>
      </c>
      <c r="C60" s="42"/>
    </row>
    <row r="61" spans="2:3" ht="13.5" customHeight="1">
      <c r="B61" s="42" t="s">
        <v>119</v>
      </c>
      <c r="C61" s="42"/>
    </row>
    <row r="62" spans="2:3" ht="13.5" customHeight="1">
      <c r="B62" s="42"/>
      <c r="C62" s="42"/>
    </row>
    <row r="63" spans="2:3" ht="13.5" customHeight="1">
      <c r="B63" s="42" t="s">
        <v>120</v>
      </c>
      <c r="C63" s="42"/>
    </row>
    <row r="64" spans="2:3" ht="13.5" customHeight="1">
      <c r="B64" s="42" t="s">
        <v>121</v>
      </c>
      <c r="C64" s="42"/>
    </row>
    <row r="65" spans="2:3" ht="13.5" customHeight="1">
      <c r="B65" s="42" t="s">
        <v>122</v>
      </c>
      <c r="C65" s="42"/>
    </row>
    <row r="66" spans="2:3" ht="13.5" customHeight="1">
      <c r="B66" s="42" t="s">
        <v>123</v>
      </c>
      <c r="C66" s="42"/>
    </row>
    <row r="67" spans="2:3" ht="13.5" customHeight="1">
      <c r="B67" s="42"/>
      <c r="C67" s="42"/>
    </row>
    <row r="68" spans="2:3" ht="13.5" customHeight="1">
      <c r="B68" s="42" t="s">
        <v>124</v>
      </c>
      <c r="C68" s="42"/>
    </row>
    <row r="69" spans="2:3" ht="13.5" customHeight="1">
      <c r="B69" s="42" t="s">
        <v>125</v>
      </c>
      <c r="C69" s="42"/>
    </row>
    <row r="70" spans="2:3" ht="13.5" customHeight="1">
      <c r="B70" s="42" t="s">
        <v>126</v>
      </c>
      <c r="C70" s="42"/>
    </row>
    <row r="71" spans="2:3" ht="13.5" customHeight="1">
      <c r="B71" s="42" t="s">
        <v>127</v>
      </c>
      <c r="C71" s="42"/>
    </row>
    <row r="72" spans="2:3" ht="13.5" customHeight="1">
      <c r="B72" s="42"/>
      <c r="C72" s="42"/>
    </row>
    <row r="73" spans="2:3" ht="13.5" customHeight="1">
      <c r="B73" s="42" t="s">
        <v>128</v>
      </c>
      <c r="C73" s="42"/>
    </row>
    <row r="74" spans="2:3" ht="13.5" customHeight="1">
      <c r="B74" s="42" t="s">
        <v>129</v>
      </c>
      <c r="C74" s="42"/>
    </row>
    <row r="75" spans="2:3" ht="13.5" customHeight="1">
      <c r="B75" s="42"/>
      <c r="C75" s="42"/>
    </row>
    <row r="76" spans="2:3" ht="13.5" customHeight="1">
      <c r="B76" s="42" t="s">
        <v>130</v>
      </c>
      <c r="C76" s="42"/>
    </row>
    <row r="77" spans="2:3" ht="13.5" customHeight="1">
      <c r="B77" s="42" t="s">
        <v>131</v>
      </c>
      <c r="C77" s="42"/>
    </row>
    <row r="78" spans="2:3" ht="13.5" customHeight="1">
      <c r="B78" s="42" t="s">
        <v>132</v>
      </c>
      <c r="C78" s="42"/>
    </row>
    <row r="79" spans="2:3" ht="13.5" customHeight="1">
      <c r="B79" s="42"/>
      <c r="C79" s="42"/>
    </row>
    <row r="80" spans="2:3" ht="13.5" customHeight="1">
      <c r="B80" s="42" t="s">
        <v>133</v>
      </c>
      <c r="C80" s="42"/>
    </row>
    <row r="81" spans="2:3">
      <c r="B81" s="36"/>
      <c r="C81" s="36"/>
    </row>
    <row r="82" spans="2:3" ht="19.5" customHeight="1">
      <c r="B82" s="43" t="s">
        <v>134</v>
      </c>
      <c r="C82" s="43"/>
    </row>
    <row r="83" spans="2:3" ht="15.75" customHeight="1">
      <c r="B83" s="34" t="s">
        <v>135</v>
      </c>
      <c r="C83" s="35" t="s">
        <v>136</v>
      </c>
    </row>
    <row r="84" spans="2:3" ht="19.5" customHeight="1">
      <c r="B84" s="34" t="s">
        <v>137</v>
      </c>
      <c r="C84" s="35" t="s">
        <v>138</v>
      </c>
    </row>
    <row r="85" spans="2:3" ht="84" customHeight="1">
      <c r="B85" s="34" t="s">
        <v>139</v>
      </c>
      <c r="C85" s="37" t="s">
        <v>140</v>
      </c>
    </row>
    <row r="86" spans="2:3">
      <c r="B86" s="36"/>
      <c r="C86" s="36"/>
    </row>
    <row r="87" spans="2:3" ht="19.5" customHeight="1">
      <c r="B87" s="41" t="s">
        <v>141</v>
      </c>
      <c r="C87" s="41"/>
    </row>
    <row r="88" spans="2:3" ht="18" customHeight="1">
      <c r="B88" s="34" t="s">
        <v>142</v>
      </c>
      <c r="C88" s="35" t="s">
        <v>143</v>
      </c>
    </row>
    <row r="89" spans="2:3" ht="27.75" customHeight="1">
      <c r="B89" s="34" t="s">
        <v>144</v>
      </c>
      <c r="C89" s="35" t="s">
        <v>145</v>
      </c>
    </row>
    <row r="90" spans="2:3" ht="27.75" customHeight="1">
      <c r="B90" s="34" t="s">
        <v>146</v>
      </c>
      <c r="C90" s="35" t="s">
        <v>147</v>
      </c>
    </row>
    <row r="91" spans="2:3" ht="27.75" customHeight="1">
      <c r="B91" s="34" t="s">
        <v>148</v>
      </c>
      <c r="C91" s="35" t="s">
        <v>149</v>
      </c>
    </row>
    <row r="92" spans="2:3" ht="24" customHeight="1">
      <c r="B92" s="34" t="s">
        <v>150</v>
      </c>
      <c r="C92" s="35" t="s">
        <v>151</v>
      </c>
    </row>
    <row r="93" spans="2:3">
      <c r="B93" s="36"/>
      <c r="C93" s="36"/>
    </row>
    <row r="94" spans="2:3" ht="19.5" customHeight="1">
      <c r="B94" s="44" t="s">
        <v>152</v>
      </c>
      <c r="C94" s="44"/>
    </row>
    <row r="95" spans="2:3" ht="15.75" customHeight="1">
      <c r="B95" s="34" t="s">
        <v>153</v>
      </c>
      <c r="C95" s="35" t="s">
        <v>154</v>
      </c>
    </row>
    <row r="96" spans="2:3" ht="15.75" customHeight="1">
      <c r="B96" s="34" t="s">
        <v>155</v>
      </c>
      <c r="C96" s="35" t="s">
        <v>156</v>
      </c>
    </row>
    <row r="97" spans="2:3" ht="24" customHeight="1">
      <c r="B97" s="34" t="s">
        <v>157</v>
      </c>
      <c r="C97" s="35" t="s">
        <v>158</v>
      </c>
    </row>
    <row r="98" spans="2:3" ht="27.75" customHeight="1">
      <c r="B98" s="34" t="s">
        <v>159</v>
      </c>
      <c r="C98" s="35" t="s">
        <v>160</v>
      </c>
    </row>
    <row r="99" spans="2:3" ht="27.75" customHeight="1">
      <c r="B99" s="34" t="s">
        <v>161</v>
      </c>
      <c r="C99" s="35" t="s">
        <v>162</v>
      </c>
    </row>
    <row r="100" spans="2:3">
      <c r="B100" s="36"/>
      <c r="C100" s="36"/>
    </row>
    <row r="101" spans="2:3" ht="19.5" customHeight="1">
      <c r="B101" s="41" t="s">
        <v>163</v>
      </c>
      <c r="C101" s="41"/>
    </row>
    <row r="102" spans="2:3" ht="19.5" customHeight="1">
      <c r="B102" s="34" t="s">
        <v>164</v>
      </c>
      <c r="C102" s="35" t="s">
        <v>165</v>
      </c>
    </row>
    <row r="103" spans="2:3" ht="36" customHeight="1">
      <c r="B103" s="34" t="s">
        <v>166</v>
      </c>
      <c r="C103" s="35" t="s">
        <v>167</v>
      </c>
    </row>
    <row r="104" spans="2:3" ht="24" customHeight="1">
      <c r="B104" s="34" t="s">
        <v>168</v>
      </c>
      <c r="C104" s="35" t="s">
        <v>169</v>
      </c>
    </row>
    <row r="105" spans="2:3" ht="27.75" customHeight="1">
      <c r="B105" s="34" t="s">
        <v>170</v>
      </c>
      <c r="C105" s="35" t="s">
        <v>171</v>
      </c>
    </row>
    <row r="106" spans="2:3" ht="19.5" customHeight="1">
      <c r="B106" s="34" t="s">
        <v>172</v>
      </c>
      <c r="C106" s="35" t="s">
        <v>173</v>
      </c>
    </row>
    <row r="107" spans="2:3" ht="36" customHeight="1">
      <c r="B107" s="34" t="s">
        <v>174</v>
      </c>
      <c r="C107" s="35" t="s">
        <v>175</v>
      </c>
    </row>
  </sheetData>
  <mergeCells count="70">
    <mergeCell ref="B80:C80"/>
    <mergeCell ref="B82:C82"/>
    <mergeCell ref="B87:C87"/>
    <mergeCell ref="B94:C94"/>
    <mergeCell ref="B101:C101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A1:D1"/>
    <mergeCell ref="B2:C2"/>
    <mergeCell ref="B4:C4"/>
    <mergeCell ref="B14:C14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C75DEB0269B4B8FFD0CC2193F7155" ma:contentTypeVersion="17" ma:contentTypeDescription="Create a new document." ma:contentTypeScope="" ma:versionID="ba064a229de837b3b74840c7864c3786">
  <xsd:schema xmlns:xsd="http://www.w3.org/2001/XMLSchema" xmlns:xs="http://www.w3.org/2001/XMLSchema" xmlns:p="http://schemas.microsoft.com/office/2006/metadata/properties" xmlns:ns2="f3d46ce5-24f6-4478-b039-fd00f6c8ac10" xmlns:ns3="afd028de-dc66-4b76-93ae-dee188496f36" targetNamespace="http://schemas.microsoft.com/office/2006/metadata/properties" ma:root="true" ma:fieldsID="0f0014211ba019a2e0b83b54ec3e2c0e" ns2:_="" ns3:_="">
    <xsd:import namespace="f3d46ce5-24f6-4478-b039-fd00f6c8ac10"/>
    <xsd:import namespace="afd028de-dc66-4b76-93ae-dee188496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46ce5-24f6-4478-b039-fd00f6c8a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2397cb-9545-4846-a719-89ff003f95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28de-dc66-4b76-93ae-dee188496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0f77636-50aa-4ef1-9f88-08a2ef8646f1}" ma:internalName="TaxCatchAll" ma:showField="CatchAllData" ma:web="afd028de-dc66-4b76-93ae-dee188496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46ce5-24f6-4478-b039-fd00f6c8ac10">
      <Terms xmlns="http://schemas.microsoft.com/office/infopath/2007/PartnerControls"/>
    </lcf76f155ced4ddcb4097134ff3c332f>
    <TaxCatchAll xmlns="afd028de-dc66-4b76-93ae-dee188496f36" xsi:nil="true"/>
  </documentManagement>
</p:properties>
</file>

<file path=customXml/itemProps1.xml><?xml version="1.0" encoding="utf-8"?>
<ds:datastoreItem xmlns:ds="http://schemas.openxmlformats.org/officeDocument/2006/customXml" ds:itemID="{5713D931-757A-4DC0-B381-E49C790A9ACF}"/>
</file>

<file path=customXml/itemProps2.xml><?xml version="1.0" encoding="utf-8"?>
<ds:datastoreItem xmlns:ds="http://schemas.openxmlformats.org/officeDocument/2006/customXml" ds:itemID="{0A2EEF9C-70F4-476C-99BD-7FE2C95D0DC7}"/>
</file>

<file path=customXml/itemProps3.xml><?xml version="1.0" encoding="utf-8"?>
<ds:datastoreItem xmlns:ds="http://schemas.openxmlformats.org/officeDocument/2006/customXml" ds:itemID="{EAB7AE9A-1117-42E7-B2DA-6C9CAEBF8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bslimpactanalytics@gmail.com</cp:lastModifiedBy>
  <cp:revision>0</cp:revision>
  <dcterms:created xsi:type="dcterms:W3CDTF">2026-05-19T12:29:50Z</dcterms:created>
  <dcterms:modified xsi:type="dcterms:W3CDTF">2026-05-24T10:41:35Z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0x010100352C75DEB0269B4B8FFD0CC2193F7155</vt:lpwstr>
  </property>
  <property fmtid="{D5CDD505-2E9C-101B-9397-08002B2CF9AE}" pid="3" name="MediaServiceImageTags">
    <vt:lpwstr/>
  </property>
</Properties>
</file>